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交付管制表_8H_v1.4" sheetId="1" state="visible" r:id="rId3"/>
    <sheet name="場景庫" sheetId="2" state="visible" r:id="rId4"/>
    <sheet name="逐人檢核表" sheetId="3" state="visible" r:id="rId5"/>
    <sheet name="離場後追蹤" sheetId="4" state="visible" r:id="rId6"/>
    <sheet name="環境交付規格書" sheetId="5" state="visible" r:id="rId7"/>
    <sheet name="場景卡選用紀錄" sheetId="6" state="visible" r:id="rId8"/>
    <sheet name="說明與待確認" sheetId="7" state="visible" r:id="rId9"/>
    <sheet name="客戶好處一頁式" sheetId="8" state="visible" r:id="rId10"/>
    <sheet name="節點作業指引" sheetId="9" state="visible" r:id="rId11"/>
    <sheet name="放行清單"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<sst xmlns="http://schemas.openxmlformats.org/spreadsheetml/2006/main" count="1336" uniqueCount="999">
  <si>
    <r>
      <rPr>
        <b val="true"/>
        <sz val="14"/>
        <color rgb="FF1F3864"/>
        <rFont val="Arial"/>
        <family val="0"/>
        <charset val="1"/>
      </rPr>
      <t xml:space="preserve">AgentSpace / Edge </t>
    </r>
    <r>
      <rPr>
        <b val="true"/>
        <sz val="14"/>
        <color rgb="FF1F3864"/>
        <rFont val="Noto Sans CJK SC"/>
        <family val="2"/>
      </rPr>
      <t xml:space="preserve">交付管制表（</t>
    </r>
    <r>
      <rPr>
        <b val="true"/>
        <sz val="14"/>
        <color rgb="FF1F3864"/>
        <rFont val="Arial"/>
        <family val="0"/>
        <charset val="1"/>
      </rPr>
      <t xml:space="preserve">8H </t>
    </r>
    <r>
      <rPr>
        <b val="true"/>
        <sz val="14"/>
        <color rgb="FF1F3864"/>
        <rFont val="Noto Sans CJK SC"/>
        <family val="2"/>
      </rPr>
      <t xml:space="preserve">改版 </t>
    </r>
    <r>
      <rPr>
        <b val="true"/>
        <sz val="14"/>
        <color rgb="FF1F3864"/>
        <rFont val="Arial"/>
        <family val="0"/>
        <charset val="1"/>
      </rPr>
      <t xml:space="preserve">v1.4 </t>
    </r>
    <r>
      <rPr>
        <b val="true"/>
        <sz val="14"/>
        <color rgb="FF1F3864"/>
        <rFont val="Noto Sans CJK SC"/>
        <family val="2"/>
      </rPr>
      <t xml:space="preserve">試版）</t>
    </r>
  </si>
  <si>
    <r>
      <rPr>
        <i val="true"/>
        <sz val="9"/>
        <color rgb="FF808080"/>
        <rFont val="Noto Sans CJK SC"/>
        <family val="2"/>
      </rPr>
      <t xml:space="preserve">設計日期 </t>
    </r>
    <r>
      <rPr>
        <i val="true"/>
        <sz val="9"/>
        <color rgb="FF808080"/>
        <rFont val="Arial"/>
        <family val="0"/>
        <charset val="1"/>
      </rPr>
      <t xml:space="preserve">2026-09-08</t>
    </r>
    <r>
      <rPr>
        <i val="true"/>
        <sz val="9"/>
        <color rgb="FF808080"/>
        <rFont val="Noto Sans CJK SC"/>
        <family val="2"/>
      </rPr>
      <t xml:space="preserve">｜黃色底＝交付現場填寫欄｜綠色底＝</t>
    </r>
    <r>
      <rPr>
        <i val="true"/>
        <sz val="9"/>
        <color rgb="FF808080"/>
        <rFont val="Arial"/>
        <family val="0"/>
        <charset val="1"/>
      </rPr>
      <t xml:space="preserve">v1.1 </t>
    </r>
    <r>
      <rPr>
        <i val="true"/>
        <sz val="9"/>
        <color rgb="FF808080"/>
        <rFont val="Noto Sans CJK SC"/>
        <family val="2"/>
      </rPr>
      <t xml:space="preserve">依製造業 </t>
    </r>
    <r>
      <rPr>
        <i val="true"/>
        <sz val="9"/>
        <color rgb="FF808080"/>
        <rFont val="Arial"/>
        <family val="0"/>
        <charset val="1"/>
      </rPr>
      <t xml:space="preserve">IT </t>
    </r>
    <r>
      <rPr>
        <i val="true"/>
        <sz val="9"/>
        <color rgb="FF808080"/>
        <rFont val="Noto Sans CJK SC"/>
        <family val="2"/>
      </rPr>
      <t xml:space="preserve">視角評估新增或修正之項目｜「依據資料」欄＝執行這個節點要先拿到什麼；逐步動作見『節點作業指引』分頁｜本表為試版，目標值未經實測校準</t>
    </r>
  </si>
  <si>
    <t xml:space="preserve">階段</t>
  </si>
  <si>
    <t xml:space="preserve">子項目</t>
  </si>
  <si>
    <t xml:space="preserve">工作內容說明</t>
  </si>
  <si>
    <t xml:space="preserve">依據資料（執行時要拿什麼）</t>
  </si>
  <si>
    <t xml:space="preserve">產出物</t>
  </si>
  <si>
    <r>
      <rPr>
        <b val="true"/>
        <sz val="10"/>
        <color rgb="FFFFFFFF"/>
        <rFont val="Noto Sans CJK SC"/>
        <family val="2"/>
      </rPr>
      <t xml:space="preserve">時程</t>
    </r>
    <r>
      <rPr>
        <b val="true"/>
        <sz val="10"/>
        <color rgb="FFFFFFFF"/>
        <rFont val="Arial"/>
        <family val="0"/>
        <charset val="1"/>
      </rPr>
      <t xml:space="preserve">(min)</t>
    </r>
  </si>
  <si>
    <t xml:space="preserve">負責人</t>
  </si>
  <si>
    <t xml:space="preserve">完成日期</t>
  </si>
  <si>
    <r>
      <rPr>
        <b val="true"/>
        <sz val="10"/>
        <color rgb="FFFFFFFF"/>
        <rFont val="Noto Sans CJK SC"/>
        <family val="2"/>
      </rPr>
      <t xml:space="preserve">實際花費</t>
    </r>
    <r>
      <rPr>
        <b val="true"/>
        <sz val="10"/>
        <color rgb="FFFFFFFF"/>
        <rFont val="Arial"/>
        <family val="0"/>
        <charset val="1"/>
      </rPr>
      <t xml:space="preserve">(min)</t>
    </r>
  </si>
  <si>
    <r>
      <rPr>
        <b val="true"/>
        <sz val="10"/>
        <color rgb="FFFFFFFF"/>
        <rFont val="Noto Sans CJK SC"/>
        <family val="2"/>
      </rPr>
      <t xml:space="preserve">行為</t>
    </r>
    <r>
      <rPr>
        <b val="true"/>
        <sz val="10"/>
        <color rgb="FFFFFFFF"/>
        <rFont val="Arial"/>
        <family val="0"/>
        <charset val="1"/>
      </rPr>
      <t xml:space="preserve">/</t>
    </r>
    <r>
      <rPr>
        <b val="true"/>
        <sz val="10"/>
        <color rgb="FFFFFFFF"/>
        <rFont val="Noto Sans CJK SC"/>
        <family val="2"/>
      </rPr>
      <t xml:space="preserve">成果指標</t>
    </r>
  </si>
  <si>
    <t xml:space="preserve">目標值</t>
  </si>
  <si>
    <t xml:space="preserve">驗收方式</t>
  </si>
  <si>
    <t xml:space="preserve">客戶端價值（對客語言）</t>
  </si>
  <si>
    <t xml:space="preserve">備註</t>
  </si>
  <si>
    <r>
      <rPr>
        <b val="true"/>
        <sz val="10"/>
        <color rgb="FFFFFFFF"/>
        <rFont val="Noto Sans CJK SC"/>
        <family val="2"/>
      </rPr>
      <t xml:space="preserve">行前</t>
    </r>
    <r>
      <rPr>
        <b val="true"/>
        <sz val="10"/>
        <color rgb="FFFFFFFF"/>
        <rFont val="Arial"/>
        <family val="0"/>
        <charset val="1"/>
      </rPr>
      <t xml:space="preserve">(H0)</t>
    </r>
  </si>
  <si>
    <r>
      <rPr>
        <sz val="10"/>
        <rFont val="Noto Sans CJK SC"/>
        <family val="2"/>
      </rPr>
      <t xml:space="preserve">場景需求問卷【</t>
    </r>
    <r>
      <rPr>
        <sz val="10"/>
        <rFont val="Arial"/>
        <family val="0"/>
        <charset val="1"/>
      </rPr>
      <t xml:space="preserve">v1.1 </t>
    </r>
    <r>
      <rPr>
        <sz val="10"/>
        <rFont val="Noto Sans CJK SC"/>
        <family val="2"/>
      </rPr>
      <t xml:space="preserve">減負】</t>
    </r>
  </si>
  <si>
    <r>
      <rPr>
        <sz val="10"/>
        <rFont val="Noto Sans CJK SC"/>
        <family val="2"/>
      </rPr>
      <t xml:space="preserve">改為勾選式：顧問先依 </t>
    </r>
    <r>
      <rPr>
        <sz val="10"/>
        <rFont val="Arial"/>
        <family val="0"/>
        <charset val="1"/>
      </rPr>
      <t xml:space="preserve">ERP </t>
    </r>
    <r>
      <rPr>
        <sz val="10"/>
        <rFont val="Noto Sans CJK SC"/>
        <family val="2"/>
      </rPr>
      <t xml:space="preserve">模組／產業／人數推斷 </t>
    </r>
    <r>
      <rPr>
        <sz val="10"/>
        <rFont val="Arial"/>
        <family val="0"/>
        <charset val="1"/>
      </rPr>
      <t xml:space="preserve">6-8 </t>
    </r>
    <r>
      <rPr>
        <sz val="10"/>
        <rFont val="Noto Sans CJK SC"/>
        <family val="2"/>
      </rPr>
      <t xml:space="preserve">個候選場景，客戶只勾「有／沒有／不確定」</t>
    </r>
  </si>
  <si>
    <r>
      <rPr>
        <sz val="10"/>
        <rFont val="Noto Sans CJK SC"/>
        <family val="2"/>
      </rPr>
      <t xml:space="preserve">①客戶訂單／報價單（買了哪些品號、幾套）②</t>
    </r>
    <r>
      <rPr>
        <sz val="10"/>
        <rFont val="Arial"/>
        <family val="0"/>
        <charset val="1"/>
      </rPr>
      <t xml:space="preserve">CRM </t>
    </r>
    <r>
      <rPr>
        <sz val="10"/>
        <rFont val="Noto Sans CJK SC"/>
        <family val="2"/>
      </rPr>
      <t xml:space="preserve">或業務提供的 </t>
    </r>
    <r>
      <rPr>
        <sz val="10"/>
        <rFont val="Arial"/>
        <family val="0"/>
        <charset val="1"/>
      </rPr>
      <t xml:space="preserve">ERP </t>
    </r>
    <r>
      <rPr>
        <sz val="10"/>
        <rFont val="Noto Sans CJK SC"/>
        <family val="2"/>
      </rPr>
      <t xml:space="preserve">模組與版本 ③員工人數與部門表 ④《場景庫》整體規劃總表</t>
    </r>
  </si>
  <si>
    <r>
      <rPr>
        <sz val="10"/>
        <rFont val="Noto Sans CJK SC"/>
        <family val="2"/>
      </rPr>
      <t xml:space="preserve">《客戶場景勾選單》</t>
    </r>
    <r>
      <rPr>
        <sz val="10"/>
        <rFont val="Arial"/>
        <family val="0"/>
        <charset val="1"/>
      </rPr>
      <t xml:space="preserve">1 </t>
    </r>
    <r>
      <rPr>
        <sz val="10"/>
        <rFont val="Noto Sans CJK SC"/>
        <family val="2"/>
      </rPr>
      <t xml:space="preserve">頁（勾完回傳）</t>
    </r>
  </si>
  <si>
    <r>
      <rPr>
        <sz val="10"/>
        <rFont val="Noto Sans CJK SC"/>
        <family val="2"/>
      </rPr>
      <t xml:space="preserve">交付顧問擬</t>
    </r>
    <r>
      <rPr>
        <sz val="10"/>
        <rFont val="Arial"/>
        <family val="0"/>
        <charset val="1"/>
      </rPr>
      <t xml:space="preserve">,</t>
    </r>
    <r>
      <rPr>
        <sz val="10"/>
        <rFont val="Noto Sans CJK SC"/>
        <family val="2"/>
      </rPr>
      <t xml:space="preserve">客戶勾選</t>
    </r>
  </si>
  <si>
    <t xml:space="preserve">問卷回收</t>
  </si>
  <si>
    <t xml:space="preserve">100%</t>
  </si>
  <si>
    <t xml:space="preserve">回收表單</t>
  </si>
  <si>
    <t xml:space="preserve">「我們先幫你想好了，你只要勾」</t>
  </si>
  <si>
    <r>
      <rPr>
        <sz val="10"/>
        <rFont val="Noto Sans CJK SC"/>
        <family val="2"/>
      </rPr>
      <t xml:space="preserve">交付前 </t>
    </r>
    <r>
      <rPr>
        <sz val="10"/>
        <rFont val="Arial"/>
        <family val="0"/>
        <charset val="1"/>
      </rPr>
      <t xml:space="preserve">5 </t>
    </r>
    <r>
      <rPr>
        <sz val="10"/>
        <rFont val="Noto Sans CJK SC"/>
        <family val="2"/>
      </rPr>
      <t xml:space="preserve">工作日；原版開放式問卷客戶答不出來</t>
    </r>
  </si>
  <si>
    <r>
      <rPr>
        <sz val="10"/>
        <rFont val="Noto Sans CJK SC"/>
        <family val="2"/>
      </rPr>
      <t xml:space="preserve">素材徵集【</t>
    </r>
    <r>
      <rPr>
        <sz val="10"/>
        <rFont val="Arial"/>
        <family val="0"/>
        <charset val="1"/>
      </rPr>
      <t xml:space="preserve">v1.1 </t>
    </r>
    <r>
      <rPr>
        <sz val="10"/>
        <rFont val="Noto Sans CJK SC"/>
        <family val="2"/>
      </rPr>
      <t xml:space="preserve">減負】</t>
    </r>
  </si>
  <si>
    <r>
      <rPr>
        <sz val="10"/>
        <rFont val="Noto Sans CJK SC"/>
        <family val="2"/>
      </rPr>
      <t xml:space="preserve">只要 </t>
    </r>
    <r>
      <rPr>
        <sz val="10"/>
        <rFont val="Arial"/>
        <family val="0"/>
        <charset val="1"/>
      </rPr>
      <t xml:space="preserve">1 </t>
    </r>
    <r>
      <rPr>
        <sz val="10"/>
        <rFont val="Noto Sans CJK SC"/>
        <family val="2"/>
      </rPr>
      <t xml:space="preserve">份客戶自己的作業說明或表單（不涉客戶名／圖面／報價）。取消會議錄音、取消匿名信件清單</t>
    </r>
  </si>
  <si>
    <r>
      <rPr>
        <sz val="10"/>
        <rFont val="Noto Sans CJK SC"/>
        <family val="2"/>
      </rPr>
      <t xml:space="preserve">①勾選單回覆 ②《場景庫》總表『需要客戶先給文件的 </t>
    </r>
    <r>
      <rPr>
        <sz val="10"/>
        <rFont val="Arial"/>
        <family val="0"/>
        <charset val="1"/>
      </rPr>
      <t xml:space="preserve">7 </t>
    </r>
    <r>
      <rPr>
        <sz val="10"/>
        <rFont val="Noto Sans CJK SC"/>
        <family val="2"/>
      </rPr>
      <t xml:space="preserve">張卡』清單（</t>
    </r>
    <r>
      <rPr>
        <sz val="10"/>
        <rFont val="Arial"/>
        <family val="0"/>
        <charset val="1"/>
      </rPr>
      <t xml:space="preserve">ERP </t>
    </r>
    <r>
      <rPr>
        <sz val="10"/>
        <rFont val="Noto Sans CJK SC"/>
        <family val="2"/>
      </rPr>
      <t xml:space="preserve">客製說明／規章／費用規定／月結流程／監看清單／系統廠牌／</t>
    </r>
    <r>
      <rPr>
        <sz val="10"/>
        <rFont val="Arial"/>
        <family val="0"/>
        <charset val="1"/>
      </rPr>
      <t xml:space="preserve">SLA </t>
    </r>
    <r>
      <rPr>
        <sz val="10"/>
        <rFont val="Noto Sans CJK SC"/>
        <family val="2"/>
      </rPr>
      <t xml:space="preserve">天數）</t>
    </r>
  </si>
  <si>
    <r>
      <rPr>
        <sz val="10"/>
        <rFont val="Noto Sans CJK SC"/>
        <family val="2"/>
      </rPr>
      <t xml:space="preserve">客戶素材 </t>
    </r>
    <r>
      <rPr>
        <sz val="10"/>
        <rFont val="Arial"/>
        <family val="0"/>
        <charset val="1"/>
      </rPr>
      <t xml:space="preserve">1 </t>
    </r>
    <r>
      <rPr>
        <sz val="10"/>
        <rFont val="Noto Sans CJK SC"/>
        <family val="2"/>
      </rPr>
      <t xml:space="preserve">份；未取得者列《替代做法清單》</t>
    </r>
  </si>
  <si>
    <t xml:space="preserve">客戶窗口</t>
  </si>
  <si>
    <t xml:space="preserve">素材齊備</t>
  </si>
  <si>
    <r>
      <rPr>
        <sz val="10"/>
        <rFont val="Arial"/>
        <family val="0"/>
        <charset val="1"/>
      </rPr>
      <t xml:space="preserve">1 </t>
    </r>
    <r>
      <rPr>
        <sz val="10"/>
        <rFont val="Noto Sans CJK SC"/>
        <family val="2"/>
      </rPr>
      <t xml:space="preserve">份</t>
    </r>
  </si>
  <si>
    <t xml:space="preserve">清點確認</t>
  </si>
  <si>
    <t xml:space="preserve">「只要一份，不用給敏感的東西」</t>
  </si>
  <si>
    <r>
      <rPr>
        <sz val="10"/>
        <rFont val="Noto Sans CJK SC"/>
        <family val="2"/>
      </rPr>
      <t xml:space="preserve">原版 </t>
    </r>
    <r>
      <rPr>
        <sz val="10"/>
        <rFont val="Arial"/>
        <family val="0"/>
        <charset val="1"/>
      </rPr>
      <t xml:space="preserve">3</t>
    </r>
    <r>
      <rPr>
        <sz val="10"/>
        <rFont val="Noto Sans CJK SC"/>
        <family val="2"/>
      </rPr>
      <t xml:space="preserve">文件</t>
    </r>
    <r>
      <rPr>
        <sz val="10"/>
        <rFont val="Arial"/>
        <family val="0"/>
        <charset val="1"/>
      </rPr>
      <t xml:space="preserve">+</t>
    </r>
    <r>
      <rPr>
        <sz val="10"/>
        <rFont val="Noto Sans CJK SC"/>
        <family val="2"/>
      </rPr>
      <t xml:space="preserve">錄音</t>
    </r>
    <r>
      <rPr>
        <sz val="10"/>
        <rFont val="Arial"/>
        <family val="0"/>
        <charset val="1"/>
      </rPr>
      <t xml:space="preserve">+</t>
    </r>
    <r>
      <rPr>
        <sz val="10"/>
        <rFont val="Noto Sans CJK SC"/>
        <family val="2"/>
      </rPr>
      <t xml:space="preserve">信件清單會卡三週。</t>
    </r>
    <r>
      <rPr>
        <sz val="10"/>
        <rFont val="Arial"/>
        <family val="0"/>
        <charset val="1"/>
      </rPr>
      <t xml:space="preserve">7 </t>
    </r>
    <r>
      <rPr>
        <sz val="10"/>
        <rFont val="Noto Sans CJK SC"/>
        <family val="2"/>
      </rPr>
      <t xml:space="preserve">張卡的替代做法見場景庫總表讀法③</t>
    </r>
  </si>
  <si>
    <t xml:space="preserve">客戶專屬菜單組裝</t>
  </si>
  <si>
    <r>
      <rPr>
        <sz val="10"/>
        <rFont val="Noto Sans CJK SC"/>
        <family val="2"/>
      </rPr>
      <t xml:space="preserve">從《場景庫》挑 </t>
    </r>
    <r>
      <rPr>
        <sz val="10"/>
        <rFont val="Arial"/>
        <family val="0"/>
        <charset val="1"/>
      </rPr>
      <t xml:space="preserve">8-10 </t>
    </r>
    <r>
      <rPr>
        <sz val="10"/>
        <rFont val="Noto Sans CJK SC"/>
        <family val="2"/>
      </rPr>
      <t xml:space="preserve">張卡，填入客戶術語，預先佈署到客戶租戶</t>
    </r>
  </si>
  <si>
    <r>
      <rPr>
        <sz val="10"/>
        <rFont val="Noto Sans CJK SC"/>
        <family val="2"/>
      </rPr>
      <t xml:space="preserve">①勾選單回覆 ②客戶素材 ③《場景庫》附錄 </t>
    </r>
    <r>
      <rPr>
        <sz val="10"/>
        <rFont val="Arial"/>
        <family val="0"/>
        <charset val="1"/>
      </rPr>
      <t xml:space="preserve">B </t>
    </r>
    <r>
      <rPr>
        <sz val="10"/>
        <rFont val="Noto Sans CJK SC"/>
        <family val="2"/>
      </rPr>
      <t xml:space="preserve">推薦組合 ④客戶部門與職稱表（填術語用）</t>
    </r>
  </si>
  <si>
    <r>
      <rPr>
        <sz val="10"/>
        <rFont val="Noto Sans CJK SC"/>
        <family val="2"/>
      </rPr>
      <t xml:space="preserve">客戶租戶內 </t>
    </r>
    <r>
      <rPr>
        <sz val="10"/>
        <rFont val="Arial"/>
        <family val="0"/>
        <charset val="1"/>
      </rPr>
      <t xml:space="preserve">8-10 </t>
    </r>
    <r>
      <rPr>
        <sz val="10"/>
        <rFont val="Noto Sans CJK SC"/>
        <family val="2"/>
      </rPr>
      <t xml:space="preserve">張已啟用的卡；《客戶專屬菜單清單》</t>
    </r>
  </si>
  <si>
    <t xml:space="preserve">交付顧問</t>
  </si>
  <si>
    <t xml:space="preserve">已佈署場景卡數</t>
  </si>
  <si>
    <r>
      <rPr>
        <sz val="10"/>
        <rFont val="Arial"/>
        <family val="0"/>
        <charset val="1"/>
      </rPr>
      <t xml:space="preserve">8-10 </t>
    </r>
    <r>
      <rPr>
        <sz val="10"/>
        <rFont val="Noto Sans CJK SC"/>
        <family val="2"/>
      </rPr>
      <t xml:space="preserve">張</t>
    </r>
  </si>
  <si>
    <t xml:space="preserve">租戶技能清單截圖</t>
  </si>
  <si>
    <t xml:space="preserve">「你一登入就有現成的可以用」</t>
  </si>
  <si>
    <r>
      <rPr>
        <sz val="10"/>
        <rFont val="Noto Sans CJK SC"/>
        <family val="2"/>
      </rPr>
      <t xml:space="preserve">製造業客戶必含 </t>
    </r>
    <r>
      <rPr>
        <sz val="10"/>
        <rFont val="Arial"/>
        <family val="0"/>
        <charset val="1"/>
      </rPr>
      <t xml:space="preserve">L2-MIS </t>
    </r>
    <r>
      <rPr>
        <sz val="10"/>
        <rFont val="Noto Sans CJK SC"/>
        <family val="2"/>
      </rPr>
      <t xml:space="preserve">包；</t>
    </r>
    <r>
      <rPr>
        <sz val="10"/>
        <rFont val="Arial"/>
        <family val="0"/>
        <charset val="1"/>
      </rPr>
      <t xml:space="preserve">ERP </t>
    </r>
    <r>
      <rPr>
        <sz val="10"/>
        <rFont val="Noto Sans CJK SC"/>
        <family val="2"/>
      </rPr>
      <t xml:space="preserve">問答卡需先掛手冊</t>
    </r>
  </si>
  <si>
    <t xml:space="preserve">帳號與授權</t>
  </si>
  <si>
    <r>
      <rPr>
        <sz val="10"/>
        <rFont val="Noto Sans CJK SC"/>
        <family val="2"/>
      </rPr>
      <t xml:space="preserve">帳號開通、角色權限規劃、</t>
    </r>
    <r>
      <rPr>
        <sz val="10"/>
        <rFont val="Arial"/>
        <family val="0"/>
        <charset val="1"/>
      </rPr>
      <t xml:space="preserve">OAPI </t>
    </r>
    <r>
      <rPr>
        <sz val="10"/>
        <rFont val="Noto Sans CJK SC"/>
        <family val="2"/>
      </rPr>
      <t xml:space="preserve">連線確認</t>
    </r>
  </si>
  <si>
    <r>
      <rPr>
        <sz val="10"/>
        <rFont val="Noto Sans CJK SC"/>
        <family val="2"/>
      </rPr>
      <t xml:space="preserve">①出貨單與授權碼 ②客戶提供的參訓人員名單（姓名／部門／信箱）③客戶 </t>
    </r>
    <r>
      <rPr>
        <sz val="10"/>
        <rFont val="Arial"/>
        <family val="0"/>
        <charset val="1"/>
      </rPr>
      <t xml:space="preserve">AD </t>
    </r>
    <r>
      <rPr>
        <sz val="10"/>
        <rFont val="Noto Sans CJK SC"/>
        <family val="2"/>
      </rPr>
      <t xml:space="preserve">或帳號命名規則</t>
    </r>
  </si>
  <si>
    <t xml:space="preserve">已開通帳號清單＋角色權限表</t>
  </si>
  <si>
    <t xml:space="preserve">帳號開通率</t>
  </si>
  <si>
    <t xml:space="preserve">登入測試</t>
  </si>
  <si>
    <t xml:space="preserve">「當天不用花時間開帳號，八小時全部用在你們身上」</t>
  </si>
  <si>
    <t xml:space="preserve">硬性前置，未完成不得排交付</t>
  </si>
  <si>
    <r>
      <rPr>
        <sz val="10"/>
        <rFont val="Noto Sans CJK SC"/>
        <family val="2"/>
      </rPr>
      <t xml:space="preserve">環境交付規格書預發【</t>
    </r>
    <r>
      <rPr>
        <sz val="10"/>
        <rFont val="Arial"/>
        <family val="0"/>
        <charset val="1"/>
      </rPr>
      <t xml:space="preserve">v1.1 </t>
    </r>
    <r>
      <rPr>
        <sz val="10"/>
        <rFont val="Noto Sans CJK SC"/>
        <family val="2"/>
      </rPr>
      <t xml:space="preserve">新增】</t>
    </r>
  </si>
  <si>
    <r>
      <rPr>
        <sz val="10"/>
        <rFont val="Noto Sans CJK SC"/>
        <family val="2"/>
      </rPr>
      <t xml:space="preserve">主機位置／網段／</t>
    </r>
    <r>
      <rPr>
        <sz val="10"/>
        <rFont val="Arial"/>
        <family val="0"/>
        <charset val="1"/>
      </rPr>
      <t xml:space="preserve">port</t>
    </r>
    <r>
      <rPr>
        <sz val="10"/>
        <rFont val="Noto Sans CJK SC"/>
        <family val="2"/>
      </rPr>
      <t xml:space="preserve">／</t>
    </r>
    <r>
      <rPr>
        <sz val="10"/>
        <rFont val="Arial"/>
        <family val="0"/>
        <charset val="1"/>
      </rPr>
      <t xml:space="preserve">AD</t>
    </r>
    <r>
      <rPr>
        <sz val="10"/>
        <rFont val="Noto Sans CJK SC"/>
        <family val="2"/>
      </rPr>
      <t xml:space="preserve">／備份／</t>
    </r>
    <r>
      <rPr>
        <sz val="10"/>
        <rFont val="Arial"/>
        <family val="0"/>
        <charset val="1"/>
      </rPr>
      <t xml:space="preserve">UPS</t>
    </r>
    <r>
      <rPr>
        <sz val="10"/>
        <rFont val="Noto Sans CJK SC"/>
        <family val="2"/>
      </rPr>
      <t xml:space="preserve">／故障聯絡窗口與回應時間，先發給客戶 </t>
    </r>
    <r>
      <rPr>
        <sz val="10"/>
        <rFont val="Arial"/>
        <family val="0"/>
        <charset val="1"/>
      </rPr>
      <t xml:space="preserve">IT </t>
    </r>
    <r>
      <rPr>
        <sz val="10"/>
        <rFont val="Noto Sans CJK SC"/>
        <family val="2"/>
      </rPr>
      <t xml:space="preserve">預覽</t>
    </r>
  </si>
  <si>
    <r>
      <rPr>
        <sz val="10"/>
        <rFont val="Noto Sans CJK SC"/>
        <family val="2"/>
      </rPr>
      <t xml:space="preserve">①《環境交付規格書》空白模板（本檔分頁）②</t>
    </r>
    <r>
      <rPr>
        <sz val="10"/>
        <rFont val="Arial"/>
        <family val="0"/>
        <charset val="1"/>
      </rPr>
      <t xml:space="preserve">Edge </t>
    </r>
    <r>
      <rPr>
        <sz val="10"/>
        <rFont val="Noto Sans CJK SC"/>
        <family val="2"/>
      </rPr>
      <t xml:space="preserve">主機硬體規格書 ③我方維運服務條款（服務時間與回應時限）</t>
    </r>
  </si>
  <si>
    <r>
      <rPr>
        <sz val="10"/>
        <rFont val="Noto Sans CJK SC"/>
        <family val="2"/>
      </rPr>
      <t xml:space="preserve">已填我方欄位的《環境交付規格書》草稿（寄給客戶 </t>
    </r>
    <r>
      <rPr>
        <sz val="10"/>
        <rFont val="Arial"/>
        <family val="0"/>
        <charset val="1"/>
      </rPr>
      <t xml:space="preserve">IT</t>
    </r>
    <r>
      <rPr>
        <sz val="10"/>
        <rFont val="Noto Sans CJK SC"/>
        <family val="2"/>
      </rPr>
      <t xml:space="preserve">）</t>
    </r>
  </si>
  <si>
    <t xml:space="preserve">規格書已送達</t>
  </si>
  <si>
    <t xml:space="preserve">寄送紀錄</t>
  </si>
  <si>
    <t xml:space="preserve">「這台機器怎麼進到你的機房，先讓你看過」</t>
  </si>
  <si>
    <t xml:space="preserve">硬性前置；原版完全沒有此文件</t>
  </si>
  <si>
    <r>
      <rPr>
        <b val="true"/>
        <sz val="10"/>
        <color rgb="FFFFFFFF"/>
        <rFont val="Arial"/>
        <family val="0"/>
        <charset val="1"/>
      </rPr>
      <t xml:space="preserve">0 </t>
    </r>
    <r>
      <rPr>
        <b val="true"/>
        <sz val="10"/>
        <color rgb="FFFFFFFF"/>
        <rFont val="Noto Sans CJK SC"/>
        <family val="2"/>
      </rPr>
      <t xml:space="preserve">資料落地</t>
    </r>
  </si>
  <si>
    <r>
      <rPr>
        <sz val="10"/>
        <rFont val="Noto Sans CJK SC"/>
        <family val="2"/>
      </rPr>
      <t xml:space="preserve">資料落地與管制說明簽認【</t>
    </r>
    <r>
      <rPr>
        <sz val="10"/>
        <rFont val="Arial"/>
        <family val="0"/>
        <charset val="1"/>
      </rPr>
      <t xml:space="preserve">v1.1 </t>
    </r>
    <r>
      <rPr>
        <sz val="10"/>
        <rFont val="Noto Sans CJK SC"/>
        <family val="2"/>
      </rPr>
      <t xml:space="preserve">新增】</t>
    </r>
  </si>
  <si>
    <r>
      <rPr>
        <sz val="10"/>
        <rFont val="Noto Sans CJK SC"/>
        <family val="2"/>
      </rPr>
      <t xml:space="preserve">交付第一份文件不是功能介紹：資料落地邊界、上傳阻擋、稽核 </t>
    </r>
    <r>
      <rPr>
        <sz val="10"/>
        <rFont val="Arial"/>
        <family val="0"/>
        <charset val="1"/>
      </rPr>
      <t xml:space="preserve">log </t>
    </r>
    <r>
      <rPr>
        <sz val="10"/>
        <rFont val="Noto Sans CJK SC"/>
        <family val="2"/>
      </rPr>
      <t xml:space="preserve">與保留期限、權限範圍、信箱存取的技術說明</t>
    </r>
  </si>
  <si>
    <r>
      <rPr>
        <sz val="10"/>
        <rFont val="Noto Sans CJK SC"/>
        <family val="2"/>
      </rPr>
      <t xml:space="preserve">①《資料落地與管制說明》定版文件（產品端提供的技術事實）②平台實際設定截圖（管制項目開／關狀態）③待確認 </t>
    </r>
    <r>
      <rPr>
        <sz val="10"/>
        <rFont val="Arial"/>
        <family val="0"/>
        <charset val="1"/>
      </rPr>
      <t xml:space="preserve">#9/#11 </t>
    </r>
    <r>
      <rPr>
        <sz val="10"/>
        <rFont val="Noto Sans CJK SC"/>
        <family val="2"/>
      </rPr>
      <t xml:space="preserve">的最新答案</t>
    </r>
  </si>
  <si>
    <r>
      <rPr>
        <sz val="10"/>
        <rFont val="Noto Sans CJK SC"/>
        <family val="2"/>
      </rPr>
      <t xml:space="preserve">客戶簽認的《資料落地與管制說明》</t>
    </r>
    <r>
      <rPr>
        <sz val="10"/>
        <rFont val="Arial"/>
        <family val="0"/>
        <charset val="1"/>
      </rPr>
      <t xml:space="preserve">1 </t>
    </r>
    <r>
      <rPr>
        <sz val="10"/>
        <rFont val="Noto Sans CJK SC"/>
        <family val="2"/>
      </rPr>
      <t xml:space="preserve">份（我方留存＋客戶留存）</t>
    </r>
  </si>
  <si>
    <t xml:space="preserve">說明已簽認</t>
  </si>
  <si>
    <r>
      <rPr>
        <sz val="10"/>
        <rFont val="Arial"/>
        <family val="0"/>
        <charset val="1"/>
      </rPr>
      <t xml:space="preserve">100%</t>
    </r>
    <r>
      <rPr>
        <sz val="10"/>
        <rFont val="Noto Sans CJK SC"/>
        <family val="2"/>
      </rPr>
      <t xml:space="preserve">（交付成立要件）</t>
    </r>
  </si>
  <si>
    <t xml:space="preserve">客戶簽認</t>
  </si>
  <si>
    <t xml:space="preserve">「你的資料在哪、誰看得到、稽核來了怎麼交代」</t>
  </si>
  <si>
    <t xml:space="preserve">做不到的項目必須誠實說做不到並寫替代管制，不得含糊帶過</t>
  </si>
  <si>
    <r>
      <rPr>
        <sz val="10"/>
        <rFont val="Noto Sans CJK SC"/>
        <family val="2"/>
      </rPr>
      <t xml:space="preserve">環境交付規格書逐項確認【</t>
    </r>
    <r>
      <rPr>
        <sz val="10"/>
        <rFont val="Arial"/>
        <family val="0"/>
        <charset val="1"/>
      </rPr>
      <t xml:space="preserve">v1.1 </t>
    </r>
    <r>
      <rPr>
        <sz val="10"/>
        <rFont val="Noto Sans CJK SC"/>
        <family val="2"/>
      </rPr>
      <t xml:space="preserve">新增】</t>
    </r>
  </si>
  <si>
    <r>
      <rPr>
        <sz val="10"/>
        <rFont val="Noto Sans CJK SC"/>
        <family val="2"/>
      </rPr>
      <t xml:space="preserve">逐項填寫並簽認 </t>
    </r>
    <r>
      <rPr>
        <sz val="10"/>
        <rFont val="Arial"/>
        <family val="0"/>
        <charset val="1"/>
      </rPr>
      <t xml:space="preserve">14 </t>
    </r>
    <r>
      <rPr>
        <sz val="10"/>
        <rFont val="Noto Sans CJK SC"/>
        <family val="2"/>
      </rPr>
      <t xml:space="preserve">項；務必載明故障聯絡窗口與回應時間</t>
    </r>
  </si>
  <si>
    <r>
      <rPr>
        <sz val="10"/>
        <rFont val="Noto Sans CJK SC"/>
        <family val="2"/>
      </rPr>
      <t xml:space="preserve">①行前預發的規格書草稿 ②客戶 </t>
    </r>
    <r>
      <rPr>
        <sz val="10"/>
        <rFont val="Arial"/>
        <family val="0"/>
        <charset val="1"/>
      </rPr>
      <t xml:space="preserve">IT </t>
    </r>
    <r>
      <rPr>
        <sz val="10"/>
        <rFont val="Noto Sans CJK SC"/>
        <family val="2"/>
      </rPr>
      <t xml:space="preserve">現場提供：機櫃位置／網段／防火牆政策／備份與 </t>
    </r>
    <r>
      <rPr>
        <sz val="10"/>
        <rFont val="Arial"/>
        <family val="0"/>
        <charset val="1"/>
      </rPr>
      <t xml:space="preserve">UPS </t>
    </r>
    <r>
      <rPr>
        <sz val="10"/>
        <rFont val="Noto Sans CJK SC"/>
        <family val="2"/>
      </rPr>
      <t xml:space="preserve">現況 ③我方服務條款</t>
    </r>
  </si>
  <si>
    <r>
      <rPr>
        <sz val="10"/>
        <rFont val="Noto Sans CJK SC"/>
        <family val="2"/>
      </rPr>
      <t xml:space="preserve">雙方簽認的《環境交付規格書》</t>
    </r>
    <r>
      <rPr>
        <sz val="10"/>
        <rFont val="Arial"/>
        <family val="0"/>
        <charset val="1"/>
      </rPr>
      <t xml:space="preserve">1 </t>
    </r>
    <r>
      <rPr>
        <sz val="10"/>
        <rFont val="Noto Sans CJK SC"/>
        <family val="2"/>
      </rPr>
      <t xml:space="preserve">份</t>
    </r>
  </si>
  <si>
    <r>
      <rPr>
        <sz val="10"/>
        <rFont val="Noto Sans CJK SC"/>
        <family val="2"/>
      </rPr>
      <t xml:space="preserve">交付顧問</t>
    </r>
    <r>
      <rPr>
        <sz val="10"/>
        <rFont val="Arial"/>
        <family val="0"/>
        <charset val="1"/>
      </rPr>
      <t xml:space="preserve">+</t>
    </r>
    <r>
      <rPr>
        <sz val="10"/>
        <rFont val="Noto Sans CJK SC"/>
        <family val="2"/>
      </rPr>
      <t xml:space="preserve">客戶</t>
    </r>
    <r>
      <rPr>
        <sz val="10"/>
        <rFont val="Arial"/>
        <family val="0"/>
        <charset val="1"/>
      </rPr>
      <t xml:space="preserve">IT</t>
    </r>
  </si>
  <si>
    <t xml:space="preserve">規格書簽認</t>
  </si>
  <si>
    <t xml:space="preserve">「壞了找誰、多久回，白紙黑字」</t>
  </si>
  <si>
    <r>
      <rPr>
        <sz val="10"/>
        <rFont val="Noto Sans CJK SC"/>
        <family val="2"/>
      </rPr>
      <t xml:space="preserve">第 </t>
    </r>
    <r>
      <rPr>
        <sz val="10"/>
        <rFont val="Arial"/>
        <family val="0"/>
        <charset val="1"/>
      </rPr>
      <t xml:space="preserve">12 </t>
    </r>
    <r>
      <rPr>
        <sz val="10"/>
        <rFont val="Noto Sans CJK SC"/>
        <family val="2"/>
      </rPr>
      <t xml:space="preserve">項（故障窗口與回應時間）客戶一定會問</t>
    </r>
  </si>
  <si>
    <r>
      <rPr>
        <b val="true"/>
        <sz val="10"/>
        <color rgb="FFFFFFFF"/>
        <rFont val="Arial"/>
        <family val="0"/>
        <charset val="1"/>
      </rPr>
      <t xml:space="preserve">A </t>
    </r>
    <r>
      <rPr>
        <b val="true"/>
        <sz val="10"/>
        <color rgb="FFFFFFFF"/>
        <rFont val="Noto Sans CJK SC"/>
        <family val="2"/>
      </rPr>
      <t xml:space="preserve">環境</t>
    </r>
  </si>
  <si>
    <t xml:space="preserve">安裝與授權</t>
  </si>
  <si>
    <t xml:space="preserve">數智分身安裝、分身啟用及授權、技能安裝與共用、插件安裝</t>
  </si>
  <si>
    <r>
      <rPr>
        <sz val="10"/>
        <rFont val="Noto Sans CJK SC"/>
        <family val="2"/>
      </rPr>
      <t xml:space="preserve">①授權碼 ②安裝程式與版本 ③已簽認的環境交付規格書（網段</t>
    </r>
    <r>
      <rPr>
        <sz val="10"/>
        <rFont val="Arial"/>
        <family val="0"/>
        <charset val="1"/>
      </rPr>
      <t xml:space="preserve">/</t>
    </r>
    <r>
      <rPr>
        <sz val="10"/>
        <rFont val="Noto Sans CJK SC"/>
        <family val="2"/>
      </rPr>
      <t xml:space="preserve">位置依此執行）</t>
    </r>
  </si>
  <si>
    <r>
      <rPr>
        <sz val="10"/>
        <rFont val="Noto Sans CJK SC"/>
        <family val="2"/>
      </rPr>
      <t xml:space="preserve">可運作的 </t>
    </r>
    <r>
      <rPr>
        <sz val="10"/>
        <rFont val="Arial"/>
        <family val="0"/>
        <charset val="1"/>
      </rPr>
      <t xml:space="preserve">Edge </t>
    </r>
    <r>
      <rPr>
        <sz val="10"/>
        <rFont val="Noto Sans CJK SC"/>
        <family val="2"/>
      </rPr>
      <t xml:space="preserve">主機；安裝紀錄</t>
    </r>
  </si>
  <si>
    <r>
      <rPr>
        <sz val="10"/>
        <rFont val="Arial"/>
        <family val="0"/>
        <charset val="1"/>
      </rPr>
      <t xml:space="preserve">AI Agent </t>
    </r>
    <r>
      <rPr>
        <sz val="10"/>
        <rFont val="Noto Sans CJK SC"/>
        <family val="2"/>
      </rPr>
      <t xml:space="preserve">安裝完成</t>
    </r>
  </si>
  <si>
    <t xml:space="preserve">-</t>
  </si>
  <si>
    <t xml:space="preserve">確認數智分身能運作</t>
  </si>
  <si>
    <r>
      <rPr>
        <sz val="10"/>
        <rFont val="Noto Sans CJK SC"/>
        <family val="2"/>
      </rPr>
      <t xml:space="preserve">「</t>
    </r>
    <r>
      <rPr>
        <sz val="10"/>
        <rFont val="Arial"/>
        <family val="0"/>
        <charset val="1"/>
      </rPr>
      <t xml:space="preserve">IT </t>
    </r>
    <r>
      <rPr>
        <sz val="10"/>
        <rFont val="Noto Sans CJK SC"/>
        <family val="2"/>
      </rPr>
      <t xml:space="preserve">全程看著怎麼裝，日後出事自己就能先查一輪」</t>
    </r>
  </si>
  <si>
    <r>
      <rPr>
        <sz val="10"/>
        <rFont val="Noto Sans CJK SC"/>
        <family val="2"/>
      </rPr>
      <t xml:space="preserve">【</t>
    </r>
    <r>
      <rPr>
        <sz val="10"/>
        <rFont val="Arial"/>
        <family val="0"/>
        <charset val="1"/>
      </rPr>
      <t xml:space="preserve">v1.1 </t>
    </r>
    <r>
      <rPr>
        <sz val="10"/>
        <rFont val="Noto Sans CJK SC"/>
        <family val="2"/>
      </rPr>
      <t xml:space="preserve">修正】客戶 </t>
    </r>
    <r>
      <rPr>
        <sz val="10"/>
        <rFont val="Arial"/>
        <family val="0"/>
        <charset val="1"/>
      </rPr>
      <t xml:space="preserve">IT </t>
    </r>
    <r>
      <rPr>
        <sz val="10"/>
        <rFont val="Noto Sans CJK SC"/>
        <family val="2"/>
      </rPr>
      <t xml:space="preserve">必須在場（原版寫「客戶不需在場」）</t>
    </r>
  </si>
  <si>
    <t xml:space="preserve">系統與資安元件</t>
  </si>
  <si>
    <r>
      <rPr>
        <sz val="10"/>
        <rFont val="Noto Sans CJK SC"/>
        <family val="2"/>
      </rPr>
      <t xml:space="preserve">整合產品配置設定、確認相關資安</t>
    </r>
    <r>
      <rPr>
        <sz val="10"/>
        <rFont val="Arial"/>
        <family val="0"/>
        <charset val="1"/>
      </rPr>
      <t xml:space="preserve">/</t>
    </r>
    <r>
      <rPr>
        <sz val="10"/>
        <rFont val="Noto Sans CJK SC"/>
        <family val="2"/>
      </rPr>
      <t xml:space="preserve">運維元件、防火牆例外確認</t>
    </r>
  </si>
  <si>
    <r>
      <rPr>
        <sz val="10"/>
        <rFont val="Arial"/>
        <family val="0"/>
        <charset val="1"/>
      </rPr>
      <t xml:space="preserve">①OAPI </t>
    </r>
    <r>
      <rPr>
        <sz val="10"/>
        <rFont val="Noto Sans CJK SC"/>
        <family val="2"/>
      </rPr>
      <t xml:space="preserve">連線參數 ②客戶防火牆政策與例外申請單 ③客戶既有資安元件清單（防毒／</t>
    </r>
    <r>
      <rPr>
        <sz val="10"/>
        <rFont val="Arial"/>
        <family val="0"/>
        <charset val="1"/>
      </rPr>
      <t xml:space="preserve">EDR </t>
    </r>
    <r>
      <rPr>
        <sz val="10"/>
        <rFont val="Noto Sans CJK SC"/>
        <family val="2"/>
      </rPr>
      <t xml:space="preserve">白名單）</t>
    </r>
  </si>
  <si>
    <r>
      <rPr>
        <sz val="10"/>
        <rFont val="Arial"/>
        <family val="0"/>
        <charset val="1"/>
      </rPr>
      <t xml:space="preserve">OAPI </t>
    </r>
    <r>
      <rPr>
        <sz val="10"/>
        <rFont val="Noto Sans CJK SC"/>
        <family val="2"/>
      </rPr>
      <t xml:space="preserve">連線測試結果；防火牆例外申請單（如需）</t>
    </r>
  </si>
  <si>
    <r>
      <rPr>
        <sz val="10"/>
        <rFont val="Arial"/>
        <family val="0"/>
        <charset val="1"/>
      </rPr>
      <t xml:space="preserve">OAPI </t>
    </r>
    <r>
      <rPr>
        <sz val="10"/>
        <rFont val="Noto Sans CJK SC"/>
        <family val="2"/>
      </rPr>
      <t xml:space="preserve">連線正常</t>
    </r>
  </si>
  <si>
    <t xml:space="preserve">連線測試</t>
  </si>
  <si>
    <r>
      <rPr>
        <sz val="10"/>
        <rFont val="Noto Sans CJK SC"/>
        <family val="2"/>
      </rPr>
      <t xml:space="preserve">「要開哪個 </t>
    </r>
    <r>
      <rPr>
        <sz val="10"/>
        <rFont val="Arial"/>
        <family val="0"/>
        <charset val="1"/>
      </rPr>
      <t xml:space="preserve">port </t>
    </r>
    <r>
      <rPr>
        <sz val="10"/>
        <rFont val="Noto Sans CJK SC"/>
        <family val="2"/>
      </rPr>
      <t xml:space="preserve">事先講清楚，不會臨時被通知」</t>
    </r>
  </si>
  <si>
    <r>
      <rPr>
        <sz val="10"/>
        <rFont val="Noto Sans CJK SC"/>
        <family val="2"/>
      </rPr>
      <t xml:space="preserve">往外連的 </t>
    </r>
    <r>
      <rPr>
        <sz val="10"/>
        <rFont val="Arial"/>
        <family val="0"/>
        <charset val="1"/>
      </rPr>
      <t xml:space="preserve">port </t>
    </r>
    <r>
      <rPr>
        <sz val="10"/>
        <rFont val="Noto Sans CJK SC"/>
        <family val="2"/>
      </rPr>
      <t xml:space="preserve">需客戶資安例外申請，可能無法當天核准——先送件</t>
    </r>
  </si>
  <si>
    <t xml:space="preserve">場景菜單佈署</t>
  </si>
  <si>
    <t xml:space="preserve">把行前組好的場景卡灌進客戶租戶並逐張開啟測試</t>
  </si>
  <si>
    <r>
      <rPr>
        <sz val="10"/>
        <rFont val="Noto Sans CJK SC"/>
        <family val="2"/>
      </rPr>
      <t xml:space="preserve">①《客戶專屬菜單清單》②客戶素材（</t>
    </r>
    <r>
      <rPr>
        <sz val="10"/>
        <rFont val="Arial"/>
        <family val="0"/>
        <charset val="1"/>
      </rPr>
      <t xml:space="preserve">ERP </t>
    </r>
    <r>
      <rPr>
        <sz val="10"/>
        <rFont val="Noto Sans CJK SC"/>
        <family val="2"/>
      </rPr>
      <t xml:space="preserve">手冊等需掛載的文件）③《場景庫》各卡提示詞</t>
    </r>
  </si>
  <si>
    <r>
      <rPr>
        <sz val="10"/>
        <rFont val="Arial"/>
        <family val="0"/>
        <charset val="1"/>
      </rPr>
      <t xml:space="preserve">8-10 </t>
    </r>
    <r>
      <rPr>
        <sz val="10"/>
        <rFont val="Noto Sans CJK SC"/>
        <family val="2"/>
      </rPr>
      <t xml:space="preserve">張已測試可開啟的卡；逐張點開截圖</t>
    </r>
  </si>
  <si>
    <t xml:space="preserve">菜單卡可開啟率</t>
  </si>
  <si>
    <t xml:space="preserve">逐張點開</t>
  </si>
  <si>
    <t xml:space="preserve">「打開就有卡，不是空白對話框」</t>
  </si>
  <si>
    <r>
      <rPr>
        <b val="true"/>
        <sz val="10"/>
        <color rgb="FFFFFFFF"/>
        <rFont val="Arial"/>
        <family val="0"/>
        <charset val="1"/>
      </rPr>
      <t xml:space="preserve">B </t>
    </r>
    <r>
      <rPr>
        <b val="true"/>
        <sz val="10"/>
        <color rgb="FFFFFFFF"/>
        <rFont val="Noto Sans CJK SC"/>
        <family val="2"/>
      </rPr>
      <t xml:space="preserve">先做再說</t>
    </r>
  </si>
  <si>
    <t xml:space="preserve">真實素材首次體驗</t>
  </si>
  <si>
    <r>
      <rPr>
        <sz val="10"/>
        <rFont val="Noto Sans CJK SC"/>
        <family val="2"/>
      </rPr>
      <t xml:space="preserve">不做介面導覽。每人拿自己手上一份真實素材丟進去，</t>
    </r>
    <r>
      <rPr>
        <sz val="10"/>
        <rFont val="Arial"/>
        <family val="0"/>
        <charset val="1"/>
      </rPr>
      <t xml:space="preserve">30 </t>
    </r>
    <r>
      <rPr>
        <sz val="10"/>
        <rFont val="Noto Sans CJK SC"/>
        <family val="2"/>
      </rPr>
      <t xml:space="preserve">秒拿到結果</t>
    </r>
  </si>
  <si>
    <r>
      <rPr>
        <sz val="10"/>
        <rFont val="Noto Sans CJK SC"/>
        <family val="2"/>
      </rPr>
      <t xml:space="preserve">①每位參訓者當天手上的一份文件 ②</t>
    </r>
    <r>
      <rPr>
        <sz val="10"/>
        <rFont val="Arial"/>
        <family val="0"/>
        <charset val="1"/>
      </rPr>
      <t xml:space="preserve">**IT</t>
    </r>
    <r>
      <rPr>
        <sz val="10"/>
        <rFont val="Noto Sans CJK SC"/>
        <family val="2"/>
      </rPr>
      <t xml:space="preserve">／</t>
    </r>
    <r>
      <rPr>
        <sz val="10"/>
        <rFont val="Arial"/>
        <family val="0"/>
        <charset val="1"/>
      </rPr>
      <t xml:space="preserve">MIS </t>
    </r>
    <r>
      <rPr>
        <sz val="10"/>
        <rFont val="Noto Sans CJK SC"/>
        <family val="2"/>
      </rPr>
      <t xml:space="preserve">專用安全素材（顧問預先指定：原廠英文文件／公開規範／</t>
    </r>
    <r>
      <rPr>
        <sz val="10"/>
        <rFont val="Arial"/>
        <family val="0"/>
        <charset val="1"/>
      </rPr>
      <t xml:space="preserve">log </t>
    </r>
    <r>
      <rPr>
        <sz val="10"/>
        <rFont val="Noto Sans CJK SC"/>
        <family val="2"/>
      </rPr>
      <t xml:space="preserve">片段）</t>
    </r>
    <r>
      <rPr>
        <sz val="10"/>
        <rFont val="Arial"/>
        <family val="0"/>
        <charset val="1"/>
      </rPr>
      <t xml:space="preserve">** ③L1-04 </t>
    </r>
    <r>
      <rPr>
        <sz val="10"/>
        <rFont val="Noto Sans CJK SC"/>
        <family val="2"/>
      </rPr>
      <t xml:space="preserve">或 </t>
    </r>
    <r>
      <rPr>
        <sz val="10"/>
        <rFont val="Arial"/>
        <family val="0"/>
        <charset val="1"/>
      </rPr>
      <t xml:space="preserve">L2-MIS-03</t>
    </r>
    <r>
      <rPr>
        <sz val="10"/>
        <rFont val="Noto Sans CJK SC"/>
        <family val="2"/>
      </rPr>
      <t xml:space="preserve">／</t>
    </r>
    <r>
      <rPr>
        <sz val="10"/>
        <rFont val="Arial"/>
        <family val="0"/>
        <charset val="1"/>
      </rPr>
      <t xml:space="preserve">04 </t>
    </r>
    <r>
      <rPr>
        <sz val="10"/>
        <rFont val="Noto Sans CJK SC"/>
        <family val="2"/>
      </rPr>
      <t xml:space="preserve">卡</t>
    </r>
  </si>
  <si>
    <r>
      <rPr>
        <sz val="10"/>
        <rFont val="Noto Sans CJK SC"/>
        <family val="2"/>
      </rPr>
      <t xml:space="preserve">每人 </t>
    </r>
    <r>
      <rPr>
        <sz val="10"/>
        <rFont val="Arial"/>
        <family val="0"/>
        <charset val="1"/>
      </rPr>
      <t xml:space="preserve">1 </t>
    </r>
    <r>
      <rPr>
        <sz val="10"/>
        <rFont val="Noto Sans CJK SC"/>
        <family val="2"/>
      </rPr>
      <t xml:space="preserve">次成功產出（截圖或口頭確認）</t>
    </r>
  </si>
  <si>
    <t xml:space="preserve">首次成功產出人數</t>
  </si>
  <si>
    <t xml:space="preserve">逐人觀察</t>
  </si>
  <si>
    <t xml:space="preserve">「先看結果，再聽原理」</t>
  </si>
  <si>
    <r>
      <rPr>
        <sz val="10"/>
        <rFont val="Arial"/>
        <family val="0"/>
        <charset val="1"/>
      </rPr>
      <t xml:space="preserve">IT </t>
    </r>
    <r>
      <rPr>
        <sz val="10"/>
        <rFont val="Noto Sans CJK SC"/>
        <family val="2"/>
      </rPr>
      <t xml:space="preserve">手上的文件多為敏感檔，不可要求他當場拿自己的資料冒險</t>
    </r>
  </si>
  <si>
    <r>
      <rPr>
        <b val="true"/>
        <sz val="10"/>
        <color rgb="FFFFFFFF"/>
        <rFont val="Arial"/>
        <family val="0"/>
        <charset val="1"/>
      </rPr>
      <t xml:space="preserve">C </t>
    </r>
    <r>
      <rPr>
        <b val="true"/>
        <sz val="10"/>
        <color rgb="FFFFFFFF"/>
        <rFont val="Noto Sans CJK SC"/>
        <family val="2"/>
      </rPr>
      <t xml:space="preserve">菜單走查</t>
    </r>
  </si>
  <si>
    <r>
      <rPr>
        <sz val="10"/>
        <rFont val="Arial"/>
        <family val="0"/>
        <charset val="1"/>
      </rPr>
      <t xml:space="preserve">L1/L2-MIS/L2 </t>
    </r>
    <r>
      <rPr>
        <sz val="10"/>
        <rFont val="Noto Sans CJK SC"/>
        <family val="2"/>
      </rPr>
      <t xml:space="preserve">菜單走查</t>
    </r>
  </si>
  <si>
    <r>
      <rPr>
        <sz val="10"/>
        <rFont val="Noto Sans CJK SC"/>
        <family val="2"/>
      </rPr>
      <t xml:space="preserve">走過菜單三層，說明每張卡的用途與參數。製造業客戶從 </t>
    </r>
    <r>
      <rPr>
        <sz val="10"/>
        <rFont val="Arial"/>
        <family val="0"/>
        <charset val="1"/>
      </rPr>
      <t xml:space="preserve">L2-MIS </t>
    </r>
    <r>
      <rPr>
        <sz val="10"/>
        <rFont val="Noto Sans CJK SC"/>
        <family val="2"/>
      </rPr>
      <t xml:space="preserve">包開始講</t>
    </r>
  </si>
  <si>
    <r>
      <rPr>
        <sz val="10"/>
        <rFont val="Noto Sans CJK SC"/>
        <family val="2"/>
      </rPr>
      <t xml:space="preserve">①《場景庫》整體規劃總表（</t>
    </r>
    <r>
      <rPr>
        <sz val="10"/>
        <rFont val="Arial"/>
        <family val="0"/>
        <charset val="1"/>
      </rPr>
      <t xml:space="preserve">41 </t>
    </r>
    <r>
      <rPr>
        <sz val="10"/>
        <rFont val="Noto Sans CJK SC"/>
        <family val="2"/>
      </rPr>
      <t xml:space="preserve">張卡一覽）②《客戶專屬菜單清單》③附錄 </t>
    </r>
    <r>
      <rPr>
        <sz val="10"/>
        <rFont val="Arial"/>
        <family val="0"/>
        <charset val="1"/>
      </rPr>
      <t xml:space="preserve">B </t>
    </r>
    <r>
      <rPr>
        <sz val="10"/>
        <rFont val="Noto Sans CJK SC"/>
        <family val="2"/>
      </rPr>
      <t xml:space="preserve">推薦組合</t>
    </r>
  </si>
  <si>
    <r>
      <rPr>
        <sz val="10"/>
        <rFont val="Noto Sans CJK SC"/>
        <family val="2"/>
      </rPr>
      <t xml:space="preserve">「不用面對空白對話框想我要問什麼；製造業從 </t>
    </r>
    <r>
      <rPr>
        <sz val="10"/>
        <rFont val="Arial"/>
        <family val="0"/>
        <charset val="1"/>
      </rPr>
      <t xml:space="preserve">ERP </t>
    </r>
    <r>
      <rPr>
        <sz val="10"/>
        <rFont val="Noto Sans CJK SC"/>
        <family val="2"/>
      </rPr>
      <t xml:space="preserve">那張開始講」</t>
    </r>
  </si>
  <si>
    <t xml:space="preserve">窗口本人每天在做的事要排第一張，不是晨間信件摘要</t>
  </si>
  <si>
    <r>
      <rPr>
        <sz val="10"/>
        <rFont val="Noto Sans CJK SC"/>
        <family val="2"/>
      </rPr>
      <t xml:space="preserve">每人選 </t>
    </r>
    <r>
      <rPr>
        <sz val="10"/>
        <rFont val="Arial"/>
        <family val="0"/>
        <charset val="1"/>
      </rPr>
      <t xml:space="preserve">3 </t>
    </r>
    <r>
      <rPr>
        <sz val="10"/>
        <rFont val="Noto Sans CJK SC"/>
        <family val="2"/>
      </rPr>
      <t xml:space="preserve">張卡並跑通</t>
    </r>
  </si>
  <si>
    <r>
      <rPr>
        <sz val="10"/>
        <rFont val="Noto Sans CJK SC"/>
        <family val="2"/>
      </rPr>
      <t xml:space="preserve">每人選 </t>
    </r>
    <r>
      <rPr>
        <sz val="10"/>
        <rFont val="Arial"/>
        <family val="0"/>
        <charset val="1"/>
      </rPr>
      <t xml:space="preserve">3 </t>
    </r>
    <r>
      <rPr>
        <sz val="10"/>
        <rFont val="Noto Sans CJK SC"/>
        <family val="2"/>
      </rPr>
      <t xml:space="preserve">張並用自己的資料當場跑通（顧問不代操作）</t>
    </r>
  </si>
  <si>
    <r>
      <rPr>
        <sz val="10"/>
        <rFont val="Noto Sans CJK SC"/>
        <family val="2"/>
      </rPr>
      <t xml:space="preserve">①每人自己的真實資料（依所選卡的『輸入資料』欄準備）②《場景庫》各卡的 </t>
    </r>
    <r>
      <rPr>
        <sz val="10"/>
        <rFont val="Arial"/>
        <family val="0"/>
        <charset val="1"/>
      </rPr>
      <t xml:space="preserve">5 </t>
    </r>
    <r>
      <rPr>
        <sz val="10"/>
        <rFont val="Noto Sans CJK SC"/>
        <family val="2"/>
      </rPr>
      <t xml:space="preserve">分鐘檢核 ③附錄 </t>
    </r>
    <r>
      <rPr>
        <sz val="10"/>
        <rFont val="Arial"/>
        <family val="0"/>
        <charset val="1"/>
      </rPr>
      <t xml:space="preserve">B </t>
    </r>
    <r>
      <rPr>
        <sz val="10"/>
        <rFont val="Noto Sans CJK SC"/>
        <family val="2"/>
      </rPr>
      <t xml:space="preserve">推薦組合</t>
    </r>
  </si>
  <si>
    <t xml:space="preserve">《場景卡選用紀錄》分頁逐列填寫；後台對話紀錄</t>
  </si>
  <si>
    <r>
      <rPr>
        <sz val="10"/>
        <rFont val="Noto Sans CJK SC"/>
        <family val="2"/>
      </rPr>
      <t xml:space="preserve">客戶</t>
    </r>
    <r>
      <rPr>
        <sz val="10"/>
        <rFont val="Arial"/>
        <family val="0"/>
        <charset val="1"/>
      </rPr>
      <t xml:space="preserve">+</t>
    </r>
    <r>
      <rPr>
        <sz val="10"/>
        <rFont val="Noto Sans CJK SC"/>
        <family val="2"/>
      </rPr>
      <t xml:space="preserve">顧問</t>
    </r>
  </si>
  <si>
    <t xml:space="preserve">選用場景卡跑通數</t>
  </si>
  <si>
    <r>
      <rPr>
        <sz val="10"/>
        <rFont val="Noto Sans CJK SC"/>
        <family val="2"/>
      </rPr>
      <t xml:space="preserve">核心≥</t>
    </r>
    <r>
      <rPr>
        <sz val="10"/>
        <rFont val="Arial"/>
        <family val="0"/>
        <charset val="1"/>
      </rPr>
      <t xml:space="preserve">3 </t>
    </r>
    <r>
      <rPr>
        <sz val="10"/>
        <rFont val="Noto Sans CJK SC"/>
        <family val="2"/>
      </rPr>
      <t xml:space="preserve">張</t>
    </r>
    <r>
      <rPr>
        <sz val="10"/>
        <rFont val="Arial"/>
        <family val="0"/>
        <charset val="1"/>
      </rPr>
      <t xml:space="preserve">/</t>
    </r>
    <r>
      <rPr>
        <sz val="10"/>
        <rFont val="Noto Sans CJK SC"/>
        <family val="2"/>
      </rPr>
      <t xml:space="preserve">人；擴散≥</t>
    </r>
    <r>
      <rPr>
        <sz val="10"/>
        <rFont val="Arial"/>
        <family val="0"/>
        <charset val="1"/>
      </rPr>
      <t xml:space="preserve">1 </t>
    </r>
    <r>
      <rPr>
        <sz val="10"/>
        <rFont val="Noto Sans CJK SC"/>
        <family val="2"/>
      </rPr>
      <t xml:space="preserve">張</t>
    </r>
    <r>
      <rPr>
        <sz val="10"/>
        <rFont val="Arial"/>
        <family val="0"/>
        <charset val="1"/>
      </rPr>
      <t xml:space="preserve">/</t>
    </r>
    <r>
      <rPr>
        <sz val="10"/>
        <rFont val="Noto Sans CJK SC"/>
        <family val="2"/>
      </rPr>
      <t xml:space="preserve">人</t>
    </r>
  </si>
  <si>
    <t xml:space="preserve">後台對話紀錄</t>
  </si>
  <si>
    <t xml:space="preserve">「你自己選、你自己跑一次」</t>
  </si>
  <si>
    <t xml:space="preserve">顧問不代操作，客戶自己打字</t>
  </si>
  <si>
    <r>
      <rPr>
        <b val="true"/>
        <sz val="10"/>
        <color rgb="FFFFFFFF"/>
        <rFont val="Arial"/>
        <family val="0"/>
        <charset val="1"/>
      </rPr>
      <t xml:space="preserve">D </t>
    </r>
    <r>
      <rPr>
        <b val="true"/>
        <sz val="10"/>
        <color rgb="FFFFFFFF"/>
        <rFont val="Noto Sans CJK SC"/>
        <family val="2"/>
      </rPr>
      <t xml:space="preserve">場景精靈</t>
    </r>
  </si>
  <si>
    <t xml:space="preserve">場景精靈引導</t>
  </si>
  <si>
    <r>
      <rPr>
        <sz val="10"/>
        <rFont val="Noto Sans CJK SC"/>
        <family val="2"/>
      </rPr>
      <t xml:space="preserve">精靈問 </t>
    </r>
    <r>
      <rPr>
        <sz val="10"/>
        <rFont val="Arial"/>
        <family val="0"/>
        <charset val="1"/>
      </rPr>
      <t xml:space="preserve">5 </t>
    </r>
    <r>
      <rPr>
        <sz val="10"/>
        <rFont val="Noto Sans CJK SC"/>
        <family val="2"/>
      </rPr>
      <t xml:space="preserve">題（重複做什麼</t>
    </r>
    <r>
      <rPr>
        <sz val="10"/>
        <rFont val="Arial"/>
        <family val="0"/>
        <charset val="1"/>
      </rPr>
      <t xml:space="preserve">/</t>
    </r>
    <r>
      <rPr>
        <sz val="10"/>
        <rFont val="Noto Sans CJK SC"/>
        <family val="2"/>
      </rPr>
      <t xml:space="preserve">輸入是什麼</t>
    </r>
    <r>
      <rPr>
        <sz val="10"/>
        <rFont val="Arial"/>
        <family val="0"/>
        <charset val="1"/>
      </rPr>
      <t xml:space="preserve">/</t>
    </r>
    <r>
      <rPr>
        <sz val="10"/>
        <rFont val="Noto Sans CJK SC"/>
        <family val="2"/>
      </rPr>
      <t xml:space="preserve">產出給誰</t>
    </r>
    <r>
      <rPr>
        <sz val="10"/>
        <rFont val="Arial"/>
        <family val="0"/>
        <charset val="1"/>
      </rPr>
      <t xml:space="preserve">/</t>
    </r>
    <r>
      <rPr>
        <sz val="10"/>
        <rFont val="Noto Sans CJK SC"/>
        <family val="2"/>
      </rPr>
      <t xml:space="preserve">要多長</t>
    </r>
    <r>
      <rPr>
        <sz val="10"/>
        <rFont val="Arial"/>
        <family val="0"/>
        <charset val="1"/>
      </rPr>
      <t xml:space="preserve">/</t>
    </r>
    <r>
      <rPr>
        <sz val="10"/>
        <rFont val="Noto Sans CJK SC"/>
        <family val="2"/>
      </rPr>
      <t xml:space="preserve">什麼不能寫）</t>
    </r>
  </si>
  <si>
    <r>
      <rPr>
        <sz val="10"/>
        <rFont val="Noto Sans CJK SC"/>
        <family val="2"/>
      </rPr>
      <t xml:space="preserve">①《場景庫》附錄 </t>
    </r>
    <r>
      <rPr>
        <sz val="10"/>
        <rFont val="Arial"/>
        <family val="0"/>
        <charset val="1"/>
      </rPr>
      <t xml:space="preserve">A </t>
    </r>
    <r>
      <rPr>
        <sz val="10"/>
        <rFont val="Noto Sans CJK SC"/>
        <family val="2"/>
      </rPr>
      <t xml:space="preserve">場景精靈提示詞 ②參訓者本人的工作內容（口述）</t>
    </r>
  </si>
  <si>
    <r>
      <rPr>
        <sz val="10"/>
        <rFont val="Noto Sans CJK SC"/>
        <family val="2"/>
      </rPr>
      <t xml:space="preserve">每人 </t>
    </r>
    <r>
      <rPr>
        <sz val="10"/>
        <rFont val="Arial"/>
        <family val="0"/>
        <charset val="1"/>
      </rPr>
      <t xml:space="preserve">1 </t>
    </r>
    <r>
      <rPr>
        <sz val="10"/>
        <rFont val="Noto Sans CJK SC"/>
        <family val="2"/>
      </rPr>
      <t xml:space="preserve">份精靈輸出的場景卡草稿</t>
    </r>
  </si>
  <si>
    <r>
      <rPr>
        <sz val="10"/>
        <rFont val="Noto Sans CJK SC"/>
        <family val="2"/>
      </rPr>
      <t xml:space="preserve">完成 </t>
    </r>
    <r>
      <rPr>
        <sz val="10"/>
        <rFont val="Arial"/>
        <family val="0"/>
        <charset val="1"/>
      </rPr>
      <t xml:space="preserve">5 </t>
    </r>
    <r>
      <rPr>
        <sz val="10"/>
        <rFont val="Noto Sans CJK SC"/>
        <family val="2"/>
      </rPr>
      <t xml:space="preserve">題引導人數</t>
    </r>
  </si>
  <si>
    <r>
      <rPr>
        <sz val="10"/>
        <rFont val="Noto Sans CJK SC"/>
        <family val="2"/>
      </rPr>
      <t xml:space="preserve">核心 </t>
    </r>
    <r>
      <rPr>
        <sz val="10"/>
        <rFont val="Arial"/>
        <family val="0"/>
        <charset val="1"/>
      </rPr>
      <t xml:space="preserve">100%</t>
    </r>
  </si>
  <si>
    <t xml:space="preserve">精靈輸出紀錄</t>
  </si>
  <si>
    <t xml:space="preserve">「把你自己的做法變成一張卡」</t>
  </si>
  <si>
    <r>
      <rPr>
        <sz val="10"/>
        <rFont val="Noto Sans CJK SC"/>
        <family val="2"/>
      </rPr>
      <t xml:space="preserve">第 </t>
    </r>
    <r>
      <rPr>
        <sz val="10"/>
        <rFont val="Arial"/>
        <family val="0"/>
        <charset val="1"/>
      </rPr>
      <t xml:space="preserve">5 </t>
    </r>
    <r>
      <rPr>
        <sz val="10"/>
        <rFont val="Noto Sans CJK SC"/>
        <family val="2"/>
      </rPr>
      <t xml:space="preserve">題同時是資安護欄</t>
    </r>
  </si>
  <si>
    <t xml:space="preserve">自建卡並跑通</t>
  </si>
  <si>
    <t xml:space="preserve">生成新卡、存進自己的菜單，並用真實資料實跑一次</t>
  </si>
  <si>
    <t xml:space="preserve">①精靈輸出的卡草稿 ②該卡需要的客戶真實資料</t>
  </si>
  <si>
    <t xml:space="preserve">客戶菜單中新增的自建卡（已跑通）</t>
  </si>
  <si>
    <t xml:space="preserve">客戶</t>
  </si>
  <si>
    <t xml:space="preserve">自建場景卡</t>
  </si>
  <si>
    <r>
      <rPr>
        <sz val="10"/>
        <rFont val="Noto Sans CJK SC"/>
        <family val="2"/>
      </rPr>
      <t xml:space="preserve">核心≥</t>
    </r>
    <r>
      <rPr>
        <sz val="10"/>
        <rFont val="Arial"/>
        <family val="0"/>
        <charset val="1"/>
      </rPr>
      <t xml:space="preserve">1 </t>
    </r>
    <r>
      <rPr>
        <sz val="10"/>
        <rFont val="Noto Sans CJK SC"/>
        <family val="2"/>
      </rPr>
      <t xml:space="preserve">張</t>
    </r>
    <r>
      <rPr>
        <sz val="10"/>
        <rFont val="Arial"/>
        <family val="0"/>
        <charset val="1"/>
      </rPr>
      <t xml:space="preserve">/</t>
    </r>
    <r>
      <rPr>
        <sz val="10"/>
        <rFont val="Noto Sans CJK SC"/>
        <family val="2"/>
      </rPr>
      <t xml:space="preserve">人且已跑通</t>
    </r>
  </si>
  <si>
    <t xml:space="preserve">客戶菜單清單</t>
  </si>
  <si>
    <t xml:space="preserve">「這張是你做的」</t>
  </si>
  <si>
    <r>
      <rPr>
        <sz val="10"/>
        <rFont val="Noto Sans CJK SC"/>
        <family val="2"/>
      </rPr>
      <t xml:space="preserve">若平台不支援一鍵叫用</t>
    </r>
    <r>
      <rPr>
        <sz val="10"/>
        <rFont val="Arial"/>
        <family val="0"/>
        <charset val="1"/>
      </rPr>
      <t xml:space="preserve">/</t>
    </r>
    <r>
      <rPr>
        <sz val="10"/>
        <rFont val="Noto Sans CJK SC"/>
        <family val="2"/>
      </rPr>
      <t xml:space="preserve">改參數重跑</t>
    </r>
    <r>
      <rPr>
        <sz val="10"/>
        <rFont val="Arial"/>
        <family val="0"/>
        <charset val="1"/>
      </rPr>
      <t xml:space="preserve">/</t>
    </r>
    <r>
      <rPr>
        <sz val="10"/>
        <rFont val="Noto Sans CJK SC"/>
        <family val="2"/>
      </rPr>
      <t xml:space="preserve">分享，本段縮為 </t>
    </r>
    <r>
      <rPr>
        <sz val="10"/>
        <rFont val="Arial"/>
        <family val="0"/>
        <charset val="1"/>
      </rPr>
      <t xml:space="preserve">0.5H</t>
    </r>
    <r>
      <rPr>
        <sz val="10"/>
        <rFont val="Noto Sans CJK SC"/>
        <family val="2"/>
      </rPr>
      <t xml:space="preserve">（待確認 </t>
    </r>
    <r>
      <rPr>
        <sz val="10"/>
        <rFont val="Arial"/>
        <family val="0"/>
        <charset val="1"/>
      </rPr>
      <t xml:space="preserve">#8</t>
    </r>
    <r>
      <rPr>
        <sz val="10"/>
        <rFont val="Noto Sans CJK SC"/>
        <family val="2"/>
      </rPr>
      <t xml:space="preserve">）</t>
    </r>
  </si>
  <si>
    <r>
      <rPr>
        <b val="true"/>
        <sz val="10"/>
        <color rgb="FFFFFFFF"/>
        <rFont val="Arial"/>
        <family val="0"/>
        <charset val="1"/>
      </rPr>
      <t xml:space="preserve">E </t>
    </r>
    <r>
      <rPr>
        <b val="true"/>
        <sz val="10"/>
        <color rgb="FFFFFFFF"/>
        <rFont val="Noto Sans CJK SC"/>
        <family val="2"/>
      </rPr>
      <t xml:space="preserve">排程</t>
    </r>
  </si>
  <si>
    <t xml:space="preserve">每日排程設定</t>
  </si>
  <si>
    <r>
      <rPr>
        <sz val="10"/>
        <rFont val="Noto Sans CJK SC"/>
        <family val="2"/>
      </rPr>
      <t xml:space="preserve">每人設 ≥</t>
    </r>
    <r>
      <rPr>
        <sz val="10"/>
        <rFont val="Arial"/>
        <family val="0"/>
        <charset val="1"/>
      </rPr>
      <t xml:space="preserve">1 </t>
    </r>
    <r>
      <rPr>
        <sz val="10"/>
        <rFont val="Noto Sans CJK SC"/>
        <family val="2"/>
      </rPr>
      <t xml:space="preserve">個每日排程。</t>
    </r>
    <r>
      <rPr>
        <sz val="10"/>
        <rFont val="Arial"/>
        <family val="0"/>
        <charset val="1"/>
      </rPr>
      <t xml:space="preserve">MIS </t>
    </r>
    <r>
      <rPr>
        <sz val="10"/>
        <rFont val="Noto Sans CJK SC"/>
        <family val="2"/>
      </rPr>
      <t xml:space="preserve">用 </t>
    </r>
    <r>
      <rPr>
        <sz val="10"/>
        <rFont val="Arial"/>
        <family val="0"/>
        <charset val="1"/>
      </rPr>
      <t xml:space="preserve">L2-MIS-06 </t>
    </r>
    <r>
      <rPr>
        <sz val="10"/>
        <rFont val="Noto Sans CJK SC"/>
        <family val="2"/>
      </rPr>
      <t xml:space="preserve">系統健檢，不是 </t>
    </r>
    <r>
      <rPr>
        <sz val="10"/>
        <rFont val="Arial"/>
        <family val="0"/>
        <charset val="1"/>
      </rPr>
      <t xml:space="preserve">L1-01 </t>
    </r>
    <r>
      <rPr>
        <sz val="10"/>
        <rFont val="Noto Sans CJK SC"/>
        <family val="2"/>
      </rPr>
      <t xml:space="preserve">信件摘要</t>
    </r>
  </si>
  <si>
    <r>
      <rPr>
        <sz val="10"/>
        <rFont val="Noto Sans CJK SC"/>
        <family val="2"/>
      </rPr>
      <t xml:space="preserve">①《場景庫》總表讀法②可排程卡清單 ②</t>
    </r>
    <r>
      <rPr>
        <sz val="10"/>
        <rFont val="Arial"/>
        <family val="0"/>
        <charset val="1"/>
      </rPr>
      <t xml:space="preserve">**IT </t>
    </r>
    <r>
      <rPr>
        <sz val="10"/>
        <rFont val="Noto Sans CJK SC"/>
        <family val="2"/>
      </rPr>
      <t xml:space="preserve">提供的監看主機與路徑清單</t>
    </r>
    <r>
      <rPr>
        <sz val="10"/>
        <rFont val="Arial"/>
        <family val="0"/>
        <charset val="1"/>
      </rPr>
      <t xml:space="preserve">**</t>
    </r>
    <r>
      <rPr>
        <sz val="10"/>
        <rFont val="Noto Sans CJK SC"/>
        <family val="2"/>
      </rPr>
      <t xml:space="preserve">（</t>
    </r>
    <r>
      <rPr>
        <sz val="10"/>
        <rFont val="Arial"/>
        <family val="0"/>
        <charset val="1"/>
      </rPr>
      <t xml:space="preserve">L2-MIS-06 </t>
    </r>
    <r>
      <rPr>
        <sz val="10"/>
        <rFont val="Noto Sans CJK SC"/>
        <family val="2"/>
      </rPr>
      <t xml:space="preserve">用）③客戶信箱／個人待辦的存取設定</t>
    </r>
  </si>
  <si>
    <r>
      <rPr>
        <sz val="10"/>
        <rFont val="Noto Sans CJK SC"/>
        <family val="2"/>
      </rPr>
      <t xml:space="preserve">定期任務清單中每人 ≥</t>
    </r>
    <r>
      <rPr>
        <sz val="10"/>
        <rFont val="Arial"/>
        <family val="0"/>
        <charset val="1"/>
      </rPr>
      <t xml:space="preserve">1 </t>
    </r>
    <r>
      <rPr>
        <sz val="10"/>
        <rFont val="Noto Sans CJK SC"/>
        <family val="2"/>
      </rPr>
      <t xml:space="preserve">個每日排程</t>
    </r>
  </si>
  <si>
    <t xml:space="preserve">每日排程數</t>
  </si>
  <si>
    <r>
      <rPr>
        <sz val="10"/>
        <rFont val="Arial"/>
        <family val="0"/>
        <charset val="1"/>
      </rPr>
      <t xml:space="preserve">≥1 </t>
    </r>
    <r>
      <rPr>
        <sz val="10"/>
        <rFont val="Noto Sans CJK SC"/>
        <family val="2"/>
      </rPr>
      <t xml:space="preserve">個</t>
    </r>
    <r>
      <rPr>
        <sz val="10"/>
        <rFont val="Arial"/>
        <family val="0"/>
        <charset val="1"/>
      </rPr>
      <t xml:space="preserve">/</t>
    </r>
    <r>
      <rPr>
        <sz val="10"/>
        <rFont val="Noto Sans CJK SC"/>
        <family val="2"/>
      </rPr>
      <t xml:space="preserve">人</t>
    </r>
  </si>
  <si>
    <t xml:space="preserve">定期任務清單</t>
  </si>
  <si>
    <t xml:space="preserve">「明天早上它自己會跑」</t>
  </si>
  <si>
    <r>
      <rPr>
        <sz val="10"/>
        <rFont val="Noto Sans CJK SC"/>
        <family val="2"/>
      </rPr>
      <t xml:space="preserve">監看清單若行前未取得，現場請 </t>
    </r>
    <r>
      <rPr>
        <sz val="10"/>
        <rFont val="Arial"/>
        <family val="0"/>
        <charset val="1"/>
      </rPr>
      <t xml:space="preserve">IT </t>
    </r>
    <r>
      <rPr>
        <sz val="10"/>
        <rFont val="Noto Sans CJK SC"/>
        <family val="2"/>
      </rPr>
      <t xml:space="preserve">列，約需 </t>
    </r>
    <r>
      <rPr>
        <sz val="10"/>
        <rFont val="Arial"/>
        <family val="0"/>
        <charset val="1"/>
      </rPr>
      <t xml:space="preserve">10 </t>
    </r>
    <r>
      <rPr>
        <sz val="10"/>
        <rFont val="Noto Sans CJK SC"/>
        <family val="2"/>
      </rPr>
      <t xml:space="preserve">分鐘</t>
    </r>
  </si>
  <si>
    <t xml:space="preserve">第二個排程與產出去向</t>
  </si>
  <si>
    <r>
      <rPr>
        <sz val="10"/>
        <rFont val="Noto Sans CJK SC"/>
        <family val="2"/>
      </rPr>
      <t xml:space="preserve">再設 ≥</t>
    </r>
    <r>
      <rPr>
        <sz val="10"/>
        <rFont val="Arial"/>
        <family val="0"/>
        <charset val="1"/>
      </rPr>
      <t xml:space="preserve">1 </t>
    </r>
    <r>
      <rPr>
        <sz val="10"/>
        <rFont val="Noto Sans CJK SC"/>
        <family val="2"/>
      </rPr>
      <t xml:space="preserve">個排程；所有排程產出必須送到信箱或個人待辦</t>
    </r>
  </si>
  <si>
    <t xml:space="preserve">①同上 ②客戶每人的收信習慣（哪個信箱／要不要進待辦）</t>
  </si>
  <si>
    <r>
      <rPr>
        <sz val="10"/>
        <rFont val="Noto Sans CJK SC"/>
        <family val="2"/>
      </rPr>
      <t xml:space="preserve">定期任務清單中每人 ≥</t>
    </r>
    <r>
      <rPr>
        <sz val="10"/>
        <rFont val="Arial"/>
        <family val="0"/>
        <charset val="1"/>
      </rPr>
      <t xml:space="preserve">2 </t>
    </r>
    <r>
      <rPr>
        <sz val="10"/>
        <rFont val="Noto Sans CJK SC"/>
        <family val="2"/>
      </rPr>
      <t xml:space="preserve">個排程，產出去向已設定</t>
    </r>
  </si>
  <si>
    <r>
      <rPr>
        <sz val="10"/>
        <rFont val="Noto Sans CJK SC"/>
        <family val="2"/>
      </rPr>
      <t xml:space="preserve">排程總數 </t>
    </r>
    <r>
      <rPr>
        <sz val="10"/>
        <rFont val="Arial"/>
        <family val="0"/>
        <charset val="1"/>
      </rPr>
      <t xml:space="preserve">/ </t>
    </r>
    <r>
      <rPr>
        <sz val="10"/>
        <rFont val="Noto Sans CJK SC"/>
        <family val="2"/>
      </rPr>
      <t xml:space="preserve">產出落地率</t>
    </r>
  </si>
  <si>
    <r>
      <rPr>
        <sz val="10"/>
        <rFont val="Arial"/>
        <family val="0"/>
        <charset val="1"/>
      </rPr>
      <t xml:space="preserve">≥2 </t>
    </r>
    <r>
      <rPr>
        <sz val="10"/>
        <rFont val="Noto Sans CJK SC"/>
        <family val="2"/>
      </rPr>
      <t xml:space="preserve">個</t>
    </r>
    <r>
      <rPr>
        <sz val="10"/>
        <rFont val="Arial"/>
        <family val="0"/>
        <charset val="1"/>
      </rPr>
      <t xml:space="preserve">/</t>
    </r>
    <r>
      <rPr>
        <sz val="10"/>
        <rFont val="Noto Sans CJK SC"/>
        <family val="2"/>
      </rPr>
      <t xml:space="preserve">人 </t>
    </r>
    <r>
      <rPr>
        <sz val="10"/>
        <rFont val="Arial"/>
        <family val="0"/>
        <charset val="1"/>
      </rPr>
      <t xml:space="preserve">/ 100%</t>
    </r>
  </si>
  <si>
    <t xml:space="preserve">排程設定檢視</t>
  </si>
  <si>
    <t xml:space="preserve">「結果會送到你信箱，不用特地登入」</t>
  </si>
  <si>
    <t xml:space="preserve">不落地到既有工作流的排程視同無效</t>
  </si>
  <si>
    <r>
      <rPr>
        <sz val="10"/>
        <rFont val="Noto Sans CJK SC"/>
        <family val="2"/>
      </rPr>
      <t xml:space="preserve">點數揭露與關閉教學【</t>
    </r>
    <r>
      <rPr>
        <sz val="10"/>
        <rFont val="Arial"/>
        <family val="0"/>
        <charset val="1"/>
      </rPr>
      <t xml:space="preserve">v1.1 </t>
    </r>
    <r>
      <rPr>
        <sz val="10"/>
        <rFont val="Noto Sans CJK SC"/>
        <family val="2"/>
      </rPr>
      <t xml:space="preserve">新增】</t>
    </r>
  </si>
  <si>
    <r>
      <rPr>
        <sz val="10"/>
        <rFont val="Noto Sans CJK SC"/>
        <family val="2"/>
      </rPr>
      <t xml:space="preserve">當場算每個排程的每月預估點數；教客戶怎麼關；約定第 </t>
    </r>
    <r>
      <rPr>
        <sz val="10"/>
        <rFont val="Arial"/>
        <family val="0"/>
        <charset val="1"/>
      </rPr>
      <t xml:space="preserve">7 </t>
    </r>
    <r>
      <rPr>
        <sz val="10"/>
        <rFont val="Noto Sans CJK SC"/>
        <family val="2"/>
      </rPr>
      <t xml:space="preserve">天寄回饋信</t>
    </r>
  </si>
  <si>
    <r>
      <rPr>
        <sz val="10"/>
        <rFont val="Arial"/>
        <family val="0"/>
        <charset val="1"/>
      </rPr>
      <t xml:space="preserve">①**</t>
    </r>
    <r>
      <rPr>
        <sz val="10"/>
        <rFont val="Noto Sans CJK SC"/>
        <family val="2"/>
      </rPr>
      <t xml:space="preserve">點數估算表（每類排程的單次點數 </t>
    </r>
    <r>
      <rPr>
        <sz val="10"/>
        <rFont val="Arial"/>
        <family val="0"/>
        <charset val="1"/>
      </rPr>
      <t xml:space="preserve">× </t>
    </r>
    <r>
      <rPr>
        <sz val="10"/>
        <rFont val="Noto Sans CJK SC"/>
        <family val="2"/>
      </rPr>
      <t xml:space="preserve">月執行次數）</t>
    </r>
    <r>
      <rPr>
        <sz val="10"/>
        <rFont val="Arial"/>
        <family val="0"/>
        <charset val="1"/>
      </rPr>
      <t xml:space="preserve">** ②</t>
    </r>
    <r>
      <rPr>
        <sz val="10"/>
        <rFont val="Noto Sans CJK SC"/>
        <family val="2"/>
      </rPr>
      <t xml:space="preserve">客戶訂閱方案的點數配額 ③平台的排程關閉操作路徑</t>
    </r>
  </si>
  <si>
    <r>
      <rPr>
        <sz val="10"/>
        <rFont val="Noto Sans CJK SC"/>
        <family val="2"/>
      </rPr>
      <t xml:space="preserve">每個排程旁標註的月預估點數；客戶已示範關閉 </t>
    </r>
    <r>
      <rPr>
        <sz val="10"/>
        <rFont val="Arial"/>
        <family val="0"/>
        <charset val="1"/>
      </rPr>
      <t xml:space="preserve">1 </t>
    </r>
    <r>
      <rPr>
        <sz val="10"/>
        <rFont val="Noto Sans CJK SC"/>
        <family val="2"/>
      </rPr>
      <t xml:space="preserve">次</t>
    </r>
  </si>
  <si>
    <t xml:space="preserve">點數揭露確認</t>
  </si>
  <si>
    <r>
      <rPr>
        <sz val="10"/>
        <rFont val="Arial"/>
        <family val="0"/>
        <charset val="1"/>
      </rPr>
      <t xml:space="preserve">100%</t>
    </r>
    <r>
      <rPr>
        <sz val="10"/>
        <rFont val="Noto Sans CJK SC"/>
        <family val="2"/>
      </rPr>
      <t xml:space="preserve">（每個排程）</t>
    </r>
  </si>
  <si>
    <r>
      <rPr>
        <sz val="10"/>
        <rFont val="Noto Sans CJK SC"/>
        <family val="2"/>
      </rPr>
      <t xml:space="preserve">現場確認</t>
    </r>
    <r>
      <rPr>
        <sz val="10"/>
        <rFont val="Arial"/>
        <family val="0"/>
        <charset val="1"/>
      </rPr>
      <t xml:space="preserve">+</t>
    </r>
    <r>
      <rPr>
        <sz val="10"/>
        <rFont val="Noto Sans CJK SC"/>
        <family val="2"/>
      </rPr>
      <t xml:space="preserve">紀錄</t>
    </r>
  </si>
  <si>
    <t xml:space="preserve">「這個一個月大概花多少點，怎麼關我現在教你」</t>
  </si>
  <si>
    <r>
      <rPr>
        <sz val="10"/>
        <rFont val="Noto Sans CJK SC"/>
        <family val="2"/>
      </rPr>
      <t xml:space="preserve">點數估算表尚未建立（待確認 </t>
    </r>
    <r>
      <rPr>
        <sz val="10"/>
        <rFont val="Arial"/>
        <family val="0"/>
        <charset val="1"/>
      </rPr>
      <t xml:space="preserve">#10</t>
    </r>
    <r>
      <rPr>
        <sz val="10"/>
        <rFont val="Noto Sans CJK SC"/>
        <family val="2"/>
      </rPr>
      <t xml:space="preserve">）——未建立前只能給區間並標「估算值」</t>
    </r>
  </si>
  <si>
    <r>
      <rPr>
        <b val="true"/>
        <sz val="10"/>
        <color rgb="FFFFFFFF"/>
        <rFont val="Arial"/>
        <family val="0"/>
        <charset val="1"/>
      </rPr>
      <t xml:space="preserve">F </t>
    </r>
    <r>
      <rPr>
        <b val="true"/>
        <sz val="10"/>
        <color rgb="FFFFFFFF"/>
        <rFont val="Noto Sans CJK SC"/>
        <family val="2"/>
      </rPr>
      <t xml:space="preserve">職能深化</t>
    </r>
  </si>
  <si>
    <t xml:space="preserve">部門分組深度場景</t>
  </si>
  <si>
    <r>
      <rPr>
        <sz val="10"/>
        <rFont val="Noto Sans CJK SC"/>
        <family val="2"/>
      </rPr>
      <t xml:space="preserve">依部門分組跑職能包，每人跑通 ≥</t>
    </r>
    <r>
      <rPr>
        <sz val="10"/>
        <rFont val="Arial"/>
        <family val="0"/>
        <charset val="1"/>
      </rPr>
      <t xml:space="preserve">2 </t>
    </r>
    <r>
      <rPr>
        <sz val="10"/>
        <rFont val="Noto Sans CJK SC"/>
        <family val="2"/>
      </rPr>
      <t xml:space="preserve">張。製造業客戶預設跑 </t>
    </r>
    <r>
      <rPr>
        <sz val="10"/>
        <rFont val="Arial"/>
        <family val="0"/>
        <charset val="1"/>
      </rPr>
      <t xml:space="preserve">L2-MIS </t>
    </r>
    <r>
      <rPr>
        <sz val="10"/>
        <rFont val="Noto Sans CJK SC"/>
        <family val="2"/>
      </rPr>
      <t xml:space="preserve">包；資安包只在有資安專責人員時排</t>
    </r>
  </si>
  <si>
    <r>
      <rPr>
        <sz val="10"/>
        <rFont val="Noto Sans CJK SC"/>
        <family val="2"/>
      </rPr>
      <t xml:space="preserve">①該職能包各卡的輸入資料（見場景庫總表）②客戶該部門的真實案例 ③需掛知識庫的卡：</t>
    </r>
    <r>
      <rPr>
        <sz val="10"/>
        <rFont val="Arial"/>
        <family val="0"/>
        <charset val="1"/>
      </rPr>
      <t xml:space="preserve">ERP </t>
    </r>
    <r>
      <rPr>
        <sz val="10"/>
        <rFont val="Noto Sans CJK SC"/>
        <family val="2"/>
      </rPr>
      <t xml:space="preserve">手冊／公司規章／費用規定／月結流程</t>
    </r>
  </si>
  <si>
    <r>
      <rPr>
        <sz val="10"/>
        <rFont val="Noto Sans CJK SC"/>
        <family val="2"/>
      </rPr>
      <t xml:space="preserve">每人 ≥</t>
    </r>
    <r>
      <rPr>
        <sz val="10"/>
        <rFont val="Arial"/>
        <family val="0"/>
        <charset val="1"/>
      </rPr>
      <t xml:space="preserve">2 </t>
    </r>
    <r>
      <rPr>
        <sz val="10"/>
        <rFont val="Noto Sans CJK SC"/>
        <family val="2"/>
      </rPr>
      <t xml:space="preserve">張職能卡跑通；《場景卡選用紀錄》續填</t>
    </r>
  </si>
  <si>
    <t xml:space="preserve">職能包跑通數</t>
  </si>
  <si>
    <r>
      <rPr>
        <sz val="10"/>
        <rFont val="Noto Sans CJK SC"/>
        <family val="2"/>
      </rPr>
      <t xml:space="preserve">核心≥</t>
    </r>
    <r>
      <rPr>
        <sz val="10"/>
        <rFont val="Arial"/>
        <family val="0"/>
        <charset val="1"/>
      </rPr>
      <t xml:space="preserve">2 </t>
    </r>
    <r>
      <rPr>
        <sz val="10"/>
        <rFont val="Noto Sans CJK SC"/>
        <family val="2"/>
      </rPr>
      <t xml:space="preserve">張</t>
    </r>
    <r>
      <rPr>
        <sz val="10"/>
        <rFont val="Arial"/>
        <family val="0"/>
        <charset val="1"/>
      </rPr>
      <t xml:space="preserve">/</t>
    </r>
    <r>
      <rPr>
        <sz val="10"/>
        <rFont val="Noto Sans CJK SC"/>
        <family val="2"/>
      </rPr>
      <t xml:space="preserve">人</t>
    </r>
  </si>
  <si>
    <t xml:space="preserve">「跟你工作最貼的用法」</t>
  </si>
  <si>
    <r>
      <rPr>
        <sz val="10"/>
        <rFont val="Arial"/>
        <family val="0"/>
        <charset val="1"/>
      </rPr>
      <t xml:space="preserve">IT</t>
    </r>
    <r>
      <rPr>
        <sz val="10"/>
        <rFont val="Noto Sans CJK SC"/>
        <family val="2"/>
      </rPr>
      <t xml:space="preserve">運維專家交付併入本段，避免多專家重複交付</t>
    </r>
  </si>
  <si>
    <r>
      <rPr>
        <b val="true"/>
        <sz val="10"/>
        <color rgb="FFFFFFFF"/>
        <rFont val="Arial"/>
        <family val="0"/>
        <charset val="1"/>
      </rPr>
      <t xml:space="preserve">G </t>
    </r>
    <r>
      <rPr>
        <b val="true"/>
        <sz val="10"/>
        <color rgb="FFFFFFFF"/>
        <rFont val="Noto Sans CJK SC"/>
        <family val="2"/>
      </rPr>
      <t xml:space="preserve">主管機制</t>
    </r>
  </si>
  <si>
    <r>
      <rPr>
        <sz val="10"/>
        <rFont val="Noto Sans CJK SC"/>
        <family val="2"/>
      </rPr>
      <t xml:space="preserve">主管承諾週會 </t>
    </r>
    <r>
      <rPr>
        <sz val="10"/>
        <rFont val="Arial"/>
        <family val="0"/>
        <charset val="1"/>
      </rPr>
      <t xml:space="preserve">demo</t>
    </r>
    <r>
      <rPr>
        <sz val="10"/>
        <rFont val="Noto Sans CJK SC"/>
        <family val="2"/>
      </rPr>
      <t xml:space="preserve">【</t>
    </r>
    <r>
      <rPr>
        <sz val="10"/>
        <rFont val="Arial"/>
        <family val="0"/>
        <charset val="1"/>
      </rPr>
      <t xml:space="preserve">v1.1 </t>
    </r>
    <r>
      <rPr>
        <sz val="10"/>
        <rFont val="Noto Sans CJK SC"/>
        <family val="2"/>
      </rPr>
      <t xml:space="preserve">改寫】</t>
    </r>
  </si>
  <si>
    <r>
      <rPr>
        <sz val="10"/>
        <rFont val="Noto Sans CJK SC"/>
        <family val="2"/>
      </rPr>
      <t xml:space="preserve">請課級主管當場承諾：每週部門會議花 </t>
    </r>
    <r>
      <rPr>
        <sz val="10"/>
        <rFont val="Arial"/>
        <family val="0"/>
        <charset val="1"/>
      </rPr>
      <t xml:space="preserve">5 </t>
    </r>
    <r>
      <rPr>
        <sz val="10"/>
        <rFont val="Noto Sans CJK SC"/>
        <family val="2"/>
      </rPr>
      <t xml:space="preserve">分鐘指定一人 </t>
    </r>
    <r>
      <rPr>
        <sz val="10"/>
        <rFont val="Arial"/>
        <family val="0"/>
        <charset val="1"/>
      </rPr>
      <t xml:space="preserve">demo</t>
    </r>
    <r>
      <rPr>
        <sz val="10"/>
        <rFont val="Noto Sans CJK SC"/>
        <family val="2"/>
      </rPr>
      <t xml:space="preserve">；發《週會 </t>
    </r>
    <r>
      <rPr>
        <sz val="10"/>
        <rFont val="Arial"/>
        <family val="0"/>
        <charset val="1"/>
      </rPr>
      <t xml:space="preserve">5 </t>
    </r>
    <r>
      <rPr>
        <sz val="10"/>
        <rFont val="Noto Sans CJK SC"/>
        <family val="2"/>
      </rPr>
      <t xml:space="preserve">分鐘 </t>
    </r>
    <r>
      <rPr>
        <sz val="10"/>
        <rFont val="Arial"/>
        <family val="0"/>
        <charset val="1"/>
      </rPr>
      <t xml:space="preserve">demo </t>
    </r>
    <r>
      <rPr>
        <sz val="10"/>
        <rFont val="Noto Sans CJK SC"/>
        <family val="2"/>
      </rPr>
      <t xml:space="preserve">引導單》</t>
    </r>
  </si>
  <si>
    <r>
      <rPr>
        <sz val="10"/>
        <rFont val="Noto Sans CJK SC"/>
        <family val="2"/>
      </rPr>
      <t xml:space="preserve">①《週會 </t>
    </r>
    <r>
      <rPr>
        <sz val="10"/>
        <rFont val="Arial"/>
        <family val="0"/>
        <charset val="1"/>
      </rPr>
      <t xml:space="preserve">5 </t>
    </r>
    <r>
      <rPr>
        <sz val="10"/>
        <rFont val="Noto Sans CJK SC"/>
        <family val="2"/>
      </rPr>
      <t xml:space="preserve">分鐘 </t>
    </r>
    <r>
      <rPr>
        <sz val="10"/>
        <rFont val="Arial"/>
        <family val="0"/>
        <charset val="1"/>
      </rPr>
      <t xml:space="preserve">demo </t>
    </r>
    <r>
      <rPr>
        <sz val="10"/>
        <rFont val="Noto Sans CJK SC"/>
        <family val="2"/>
      </rPr>
      <t xml:space="preserve">引導單》（尚未製作）②當日《場景卡選用紀錄》（</t>
    </r>
    <r>
      <rPr>
        <sz val="10"/>
        <rFont val="Arial"/>
        <family val="0"/>
        <charset val="1"/>
      </rPr>
      <t xml:space="preserve">demo </t>
    </r>
    <r>
      <rPr>
        <sz val="10"/>
        <rFont val="Noto Sans CJK SC"/>
        <family val="2"/>
      </rPr>
      <t xml:space="preserve">題材就從這裡挑）</t>
    </r>
  </si>
  <si>
    <t xml:space="preserve">主管口頭承諾紀錄＋引導單簽收</t>
  </si>
  <si>
    <r>
      <rPr>
        <sz val="10"/>
        <rFont val="Noto Sans CJK SC"/>
        <family val="2"/>
      </rPr>
      <t xml:space="preserve">交付顧問</t>
    </r>
    <r>
      <rPr>
        <sz val="10"/>
        <rFont val="Arial"/>
        <family val="0"/>
        <charset val="1"/>
      </rPr>
      <t xml:space="preserve">+</t>
    </r>
    <r>
      <rPr>
        <sz val="10"/>
        <rFont val="Noto Sans CJK SC"/>
        <family val="2"/>
      </rPr>
      <t xml:space="preserve">客戶主管</t>
    </r>
  </si>
  <si>
    <t xml:space="preserve">主管承諾取得</t>
  </si>
  <si>
    <r>
      <rPr>
        <sz val="10"/>
        <rFont val="Arial"/>
        <family val="0"/>
        <charset val="1"/>
      </rPr>
      <t xml:space="preserve">1 </t>
    </r>
    <r>
      <rPr>
        <sz val="10"/>
        <rFont val="Noto Sans CJK SC"/>
        <family val="2"/>
      </rPr>
      <t xml:space="preserve">位主管當場承諾</t>
    </r>
  </si>
  <si>
    <r>
      <rPr>
        <sz val="10"/>
        <rFont val="Noto Sans CJK SC"/>
        <family val="2"/>
      </rPr>
      <t xml:space="preserve">承諾紀錄</t>
    </r>
    <r>
      <rPr>
        <sz val="10"/>
        <rFont val="Arial"/>
        <family val="0"/>
        <charset val="1"/>
      </rPr>
      <t xml:space="preserve">+</t>
    </r>
    <r>
      <rPr>
        <sz val="10"/>
        <rFont val="Noto Sans CJK SC"/>
        <family val="2"/>
      </rPr>
      <t xml:space="preserve">引導單簽收</t>
    </r>
  </si>
  <si>
    <t xml:space="preserve">「讓它變成部門的例行事，不靠個人熱情」</t>
  </si>
  <si>
    <t xml:space="preserve">引導單尚未製作，為前置缺口</t>
  </si>
  <si>
    <r>
      <rPr>
        <b val="true"/>
        <sz val="10"/>
        <color rgb="FFFFFFFF"/>
        <rFont val="Arial"/>
        <family val="0"/>
        <charset val="1"/>
      </rPr>
      <t xml:space="preserve">H </t>
    </r>
    <r>
      <rPr>
        <b val="true"/>
        <sz val="10"/>
        <color rgb="FFFFFFFF"/>
        <rFont val="Noto Sans CJK SC"/>
        <family val="2"/>
      </rPr>
      <t xml:space="preserve">交付確認</t>
    </r>
  </si>
  <si>
    <t xml:space="preserve">核心逐人檢核</t>
  </si>
  <si>
    <r>
      <rPr>
        <sz val="10"/>
        <rFont val="Noto Sans CJK SC"/>
        <family val="2"/>
      </rPr>
      <t xml:space="preserve">核心 </t>
    </r>
    <r>
      <rPr>
        <sz val="10"/>
        <rFont val="Arial"/>
        <family val="0"/>
        <charset val="1"/>
      </rPr>
      <t xml:space="preserve">2 </t>
    </r>
    <r>
      <rPr>
        <sz val="10"/>
        <rFont val="Noto Sans CJK SC"/>
        <family val="2"/>
      </rPr>
      <t xml:space="preserve">人各 </t>
    </r>
    <r>
      <rPr>
        <sz val="10"/>
        <rFont val="Arial"/>
        <family val="0"/>
        <charset val="1"/>
      </rPr>
      <t xml:space="preserve">20 </t>
    </r>
    <r>
      <rPr>
        <sz val="10"/>
        <rFont val="Noto Sans CJK SC"/>
        <family val="2"/>
      </rPr>
      <t xml:space="preserve">分鐘，逐項檢核 </t>
    </r>
    <r>
      <rPr>
        <sz val="10"/>
        <rFont val="Arial"/>
        <family val="0"/>
        <charset val="1"/>
      </rPr>
      <t xml:space="preserve">6 </t>
    </r>
    <r>
      <rPr>
        <sz val="10"/>
        <rFont val="Noto Sans CJK SC"/>
        <family val="2"/>
      </rPr>
      <t xml:space="preserve">項（見『逐人檢核表』分頁）</t>
    </r>
  </si>
  <si>
    <t xml:space="preserve">①《逐人檢核表》②後台對話紀錄 ③定期任務清單 ④分身設定頁（個人記憶）⑤《場景卡選用紀錄》</t>
  </si>
  <si>
    <t xml:space="preserve">已填寫的《逐人檢核表》；未過者的補訓安排</t>
  </si>
  <si>
    <t xml:space="preserve">核心逐人檢核通過</t>
  </si>
  <si>
    <r>
      <rPr>
        <sz val="10"/>
        <rFont val="Noto Sans CJK SC"/>
        <family val="2"/>
      </rPr>
      <t xml:space="preserve">核心 </t>
    </r>
    <r>
      <rPr>
        <sz val="10"/>
        <rFont val="Arial"/>
        <family val="0"/>
        <charset val="1"/>
      </rPr>
      <t xml:space="preserve">2 </t>
    </r>
    <r>
      <rPr>
        <sz val="10"/>
        <rFont val="Noto Sans CJK SC"/>
        <family val="2"/>
      </rPr>
      <t xml:space="preserve">人 </t>
    </r>
    <r>
      <rPr>
        <sz val="10"/>
        <rFont val="Arial"/>
        <family val="0"/>
        <charset val="1"/>
      </rPr>
      <t xml:space="preserve">100%</t>
    </r>
  </si>
  <si>
    <t xml:space="preserve">逐人檢核表</t>
  </si>
  <si>
    <t xml:space="preserve">「確認你真的帶得走」</t>
  </si>
  <si>
    <t xml:space="preserve">未過＝我方免費補訓一次，不寫成「交付未完成」</t>
  </si>
  <si>
    <t xml:space="preserve">擴散組檢核與手冊發放</t>
  </si>
  <si>
    <r>
      <rPr>
        <sz val="10"/>
        <rFont val="Noto Sans CJK SC"/>
        <family val="2"/>
      </rPr>
      <t xml:space="preserve">擴散 </t>
    </r>
    <r>
      <rPr>
        <sz val="10"/>
        <rFont val="Arial"/>
        <family val="0"/>
        <charset val="1"/>
      </rPr>
      <t xml:space="preserve">4-6 </t>
    </r>
    <r>
      <rPr>
        <sz val="10"/>
        <rFont val="Noto Sans CJK SC"/>
        <family val="2"/>
      </rPr>
      <t xml:space="preserve">人各 </t>
    </r>
    <r>
      <rPr>
        <sz val="10"/>
        <rFont val="Arial"/>
        <family val="0"/>
        <charset val="1"/>
      </rPr>
      <t xml:space="preserve">3-5 </t>
    </r>
    <r>
      <rPr>
        <sz val="10"/>
        <rFont val="Noto Sans CJK SC"/>
        <family val="2"/>
      </rPr>
      <t xml:space="preserve">分鐘只檢核「</t>
    </r>
    <r>
      <rPr>
        <sz val="10"/>
        <rFont val="Arial"/>
        <family val="0"/>
        <charset val="1"/>
      </rPr>
      <t xml:space="preserve">1 </t>
    </r>
    <r>
      <rPr>
        <sz val="10"/>
        <rFont val="Noto Sans CJK SC"/>
        <family val="2"/>
      </rPr>
      <t xml:space="preserve">張卡跑通」；發放《客戶專屬菜單手冊》＋線上場景庫 </t>
    </r>
    <r>
      <rPr>
        <sz val="10"/>
        <rFont val="Arial"/>
        <family val="0"/>
        <charset val="1"/>
      </rPr>
      <t xml:space="preserve">QR</t>
    </r>
  </si>
  <si>
    <r>
      <rPr>
        <sz val="10"/>
        <rFont val="Noto Sans CJK SC"/>
        <family val="2"/>
      </rPr>
      <t xml:space="preserve">①《逐人檢核表》擴散列 ②《客戶專屬菜單手冊》（一頁式，需套 </t>
    </r>
    <r>
      <rPr>
        <sz val="10"/>
        <rFont val="Arial"/>
        <family val="0"/>
        <charset val="1"/>
      </rPr>
      <t xml:space="preserve">digiwin-brand</t>
    </r>
    <r>
      <rPr>
        <sz val="10"/>
        <rFont val="Noto Sans CJK SC"/>
        <family val="2"/>
      </rPr>
      <t xml:space="preserve">，尚未製作）③線上場景庫連結與 </t>
    </r>
    <r>
      <rPr>
        <sz val="10"/>
        <rFont val="Arial"/>
        <family val="0"/>
        <charset val="1"/>
      </rPr>
      <t xml:space="preserve">QR</t>
    </r>
  </si>
  <si>
    <t xml:space="preserve">手冊簽收紀錄；擴散組檢核結果</t>
  </si>
  <si>
    <r>
      <rPr>
        <sz val="10"/>
        <rFont val="Noto Sans CJK SC"/>
        <family val="2"/>
      </rPr>
      <t xml:space="preserve">擴散組跑通率 </t>
    </r>
    <r>
      <rPr>
        <sz val="10"/>
        <rFont val="Arial"/>
        <family val="0"/>
        <charset val="1"/>
      </rPr>
      <t xml:space="preserve">/ </t>
    </r>
    <r>
      <rPr>
        <sz val="10"/>
        <rFont val="Noto Sans CJK SC"/>
        <family val="2"/>
      </rPr>
      <t xml:space="preserve">手冊發放</t>
    </r>
  </si>
  <si>
    <t xml:space="preserve">≥80% / 100%</t>
  </si>
  <si>
    <r>
      <rPr>
        <sz val="10"/>
        <rFont val="Noto Sans CJK SC"/>
        <family val="2"/>
      </rPr>
      <t xml:space="preserve">檢核表</t>
    </r>
    <r>
      <rPr>
        <sz val="10"/>
        <rFont val="Arial"/>
        <family val="0"/>
        <charset val="1"/>
      </rPr>
      <t xml:space="preserve">+</t>
    </r>
    <r>
      <rPr>
        <sz val="10"/>
        <rFont val="Noto Sans CJK SC"/>
        <family val="2"/>
      </rPr>
      <t xml:space="preserve">簽收</t>
    </r>
  </si>
  <si>
    <t xml:space="preserve">「每個人至少會一招」</t>
  </si>
  <si>
    <t xml:space="preserve">手冊尚未製作，為前置缺口</t>
  </si>
  <si>
    <t xml:space="preserve">現場工時合計（分鐘）</t>
  </si>
  <si>
    <t xml:space="preserve">現場工時合計（小時）</t>
  </si>
  <si>
    <r>
      <rPr>
        <i val="true"/>
        <sz val="9"/>
        <color rgb="FF808080"/>
        <rFont val="Noto Sans CJK SC"/>
        <family val="2"/>
      </rPr>
      <t xml:space="preserve">目標 </t>
    </r>
    <r>
      <rPr>
        <i val="true"/>
        <sz val="9"/>
        <color rgb="FF808080"/>
        <rFont val="Arial"/>
        <family val="0"/>
        <charset val="1"/>
      </rPr>
      <t xml:space="preserve">8.0H</t>
    </r>
    <r>
      <rPr>
        <i val="true"/>
        <sz val="9"/>
        <color rgb="FF808080"/>
        <rFont val="Noto Sans CJK SC"/>
        <family val="2"/>
      </rPr>
      <t xml:space="preserve">；行前不計入</t>
    </r>
  </si>
  <si>
    <r>
      <rPr>
        <b val="true"/>
        <sz val="10"/>
        <rFont val="Noto Sans CJK SC"/>
        <family val="2"/>
      </rPr>
      <t xml:space="preserve">參與者分層（</t>
    </r>
    <r>
      <rPr>
        <b val="true"/>
        <sz val="10"/>
        <rFont val="Arial"/>
        <family val="0"/>
        <charset val="1"/>
      </rPr>
      <t xml:space="preserve">v1.1 </t>
    </r>
    <r>
      <rPr>
        <b val="true"/>
        <sz val="10"/>
        <rFont val="Noto Sans CJK SC"/>
        <family val="2"/>
      </rPr>
      <t xml:space="preserve">依製造業實務修正；原版「</t>
    </r>
    <r>
      <rPr>
        <b val="true"/>
        <sz val="10"/>
        <rFont val="Arial"/>
        <family val="0"/>
        <charset val="1"/>
      </rPr>
      <t xml:space="preserve">5-8 </t>
    </r>
    <r>
      <rPr>
        <b val="true"/>
        <sz val="10"/>
        <rFont val="Noto Sans CJK SC"/>
        <family val="2"/>
      </rPr>
      <t xml:space="preserve">人全程 </t>
    </r>
    <r>
      <rPr>
        <b val="true"/>
        <sz val="10"/>
        <rFont val="Arial"/>
        <family val="0"/>
        <charset val="1"/>
      </rPr>
      <t xml:space="preserve">8H</t>
    </r>
    <r>
      <rPr>
        <b val="true"/>
        <sz val="10"/>
        <rFont val="Noto Sans CJK SC"/>
        <family val="2"/>
      </rPr>
      <t xml:space="preserve">」湊不到）</t>
    </r>
  </si>
  <si>
    <r>
      <rPr>
        <sz val="10"/>
        <rFont val="Noto Sans CJK SC"/>
        <family val="2"/>
      </rPr>
      <t xml:space="preserve">核心 </t>
    </r>
    <r>
      <rPr>
        <sz val="10"/>
        <rFont val="Arial"/>
        <family val="0"/>
        <charset val="1"/>
      </rPr>
      <t xml:space="preserve">2 </t>
    </r>
    <r>
      <rPr>
        <sz val="10"/>
        <rFont val="Noto Sans CJK SC"/>
        <family val="2"/>
      </rPr>
      <t xml:space="preserve">人（</t>
    </r>
    <r>
      <rPr>
        <sz val="10"/>
        <rFont val="Arial"/>
        <family val="0"/>
        <charset val="1"/>
      </rPr>
      <t xml:space="preserve">IT/MIS 1 </t>
    </r>
    <r>
      <rPr>
        <sz val="10"/>
        <rFont val="Noto Sans CJK SC"/>
        <family val="2"/>
      </rPr>
      <t xml:space="preserve">＋ 業務單位種子 </t>
    </r>
    <r>
      <rPr>
        <sz val="10"/>
        <rFont val="Arial"/>
        <family val="0"/>
        <charset val="1"/>
      </rPr>
      <t xml:space="preserve">1</t>
    </r>
    <r>
      <rPr>
        <sz val="10"/>
        <rFont val="Noto Sans CJK SC"/>
        <family val="2"/>
      </rPr>
      <t xml:space="preserve">）：全程 </t>
    </r>
    <r>
      <rPr>
        <sz val="10"/>
        <rFont val="Arial"/>
        <family val="0"/>
        <charset val="1"/>
      </rPr>
      <t xml:space="preserve">8H</t>
    </r>
    <r>
      <rPr>
        <sz val="10"/>
        <rFont val="Noto Sans CJK SC"/>
        <family val="2"/>
      </rPr>
      <t xml:space="preserve">，完整 </t>
    </r>
    <r>
      <rPr>
        <sz val="10"/>
        <rFont val="Arial"/>
        <family val="0"/>
        <charset val="1"/>
      </rPr>
      <t xml:space="preserve">6 </t>
    </r>
    <r>
      <rPr>
        <sz val="10"/>
        <rFont val="Noto Sans CJK SC"/>
        <family val="2"/>
      </rPr>
      <t xml:space="preserve">項逐人檢核</t>
    </r>
  </si>
  <si>
    <r>
      <rPr>
        <sz val="10"/>
        <rFont val="Noto Sans CJK SC"/>
        <family val="2"/>
      </rPr>
      <t xml:space="preserve">擴散 </t>
    </r>
    <r>
      <rPr>
        <sz val="10"/>
        <rFont val="Arial"/>
        <family val="0"/>
        <charset val="1"/>
      </rPr>
      <t xml:space="preserve">4-6 </t>
    </r>
    <r>
      <rPr>
        <sz val="10"/>
        <rFont val="Noto Sans CJK SC"/>
        <family val="2"/>
      </rPr>
      <t xml:space="preserve">人：只參加 </t>
    </r>
    <r>
      <rPr>
        <sz val="10"/>
        <rFont val="Arial"/>
        <family val="0"/>
        <charset val="1"/>
      </rPr>
      <t xml:space="preserve">B</t>
    </r>
    <r>
      <rPr>
        <sz val="10"/>
        <rFont val="Noto Sans CJK SC"/>
        <family val="2"/>
      </rPr>
      <t xml:space="preserve">＋</t>
    </r>
    <r>
      <rPr>
        <sz val="10"/>
        <rFont val="Arial"/>
        <family val="0"/>
        <charset val="1"/>
      </rPr>
      <t xml:space="preserve">C </t>
    </r>
    <r>
      <rPr>
        <sz val="10"/>
        <rFont val="Noto Sans CJK SC"/>
        <family val="2"/>
      </rPr>
      <t xml:space="preserve">共 </t>
    </r>
    <r>
      <rPr>
        <sz val="10"/>
        <rFont val="Arial"/>
        <family val="0"/>
        <charset val="1"/>
      </rPr>
      <t xml:space="preserve">2H</t>
    </r>
    <r>
      <rPr>
        <sz val="10"/>
        <rFont val="Noto Sans CJK SC"/>
        <family val="2"/>
      </rPr>
      <t xml:space="preserve">，其餘回崗位；只檢核「選 </t>
    </r>
    <r>
      <rPr>
        <sz val="10"/>
        <rFont val="Arial"/>
        <family val="0"/>
        <charset val="1"/>
      </rPr>
      <t xml:space="preserve">1 </t>
    </r>
    <r>
      <rPr>
        <sz val="10"/>
        <rFont val="Noto Sans CJK SC"/>
        <family val="2"/>
      </rPr>
      <t xml:space="preserve">張卡並跑通」</t>
    </r>
  </si>
  <si>
    <r>
      <rPr>
        <sz val="10"/>
        <rFont val="Noto Sans CJK SC"/>
        <family val="2"/>
      </rPr>
      <t xml:space="preserve">主管 </t>
    </r>
    <r>
      <rPr>
        <sz val="10"/>
        <rFont val="Arial"/>
        <family val="0"/>
        <charset val="1"/>
      </rPr>
      <t xml:space="preserve">1 </t>
    </r>
    <r>
      <rPr>
        <sz val="10"/>
        <rFont val="Noto Sans CJK SC"/>
        <family val="2"/>
      </rPr>
      <t xml:space="preserve">人：段 </t>
    </r>
    <r>
      <rPr>
        <sz val="10"/>
        <rFont val="Arial"/>
        <family val="0"/>
        <charset val="1"/>
      </rPr>
      <t xml:space="preserve">0 </t>
    </r>
    <r>
      <rPr>
        <sz val="10"/>
        <rFont val="Noto Sans CJK SC"/>
        <family val="2"/>
      </rPr>
      <t xml:space="preserve">開場 </t>
    </r>
    <r>
      <rPr>
        <sz val="10"/>
        <rFont val="Arial"/>
        <family val="0"/>
        <charset val="1"/>
      </rPr>
      <t xml:space="preserve">15 </t>
    </r>
    <r>
      <rPr>
        <sz val="10"/>
        <rFont val="Noto Sans CJK SC"/>
        <family val="2"/>
      </rPr>
      <t xml:space="preserve">分鐘 ＋ </t>
    </r>
    <r>
      <rPr>
        <sz val="10"/>
        <rFont val="Arial"/>
        <family val="0"/>
        <charset val="1"/>
      </rPr>
      <t xml:space="preserve">G </t>
    </r>
    <r>
      <rPr>
        <sz val="10"/>
        <rFont val="Noto Sans CJK SC"/>
        <family val="2"/>
      </rPr>
      <t xml:space="preserve">段 </t>
    </r>
    <r>
      <rPr>
        <sz val="10"/>
        <rFont val="Arial"/>
        <family val="0"/>
        <charset val="1"/>
      </rPr>
      <t xml:space="preserve">15 </t>
    </r>
    <r>
      <rPr>
        <sz val="10"/>
        <rFont val="Noto Sans CJK SC"/>
        <family val="2"/>
      </rPr>
      <t xml:space="preserve">分鐘；承諾週會 </t>
    </r>
    <r>
      <rPr>
        <sz val="10"/>
        <rFont val="Arial"/>
        <family val="0"/>
        <charset val="1"/>
      </rPr>
      <t xml:space="preserve">demo </t>
    </r>
    <r>
      <rPr>
        <sz val="10"/>
        <rFont val="Noto Sans CJK SC"/>
        <family val="2"/>
      </rPr>
      <t xml:space="preserve">機制</t>
    </r>
  </si>
  <si>
    <r>
      <rPr>
        <b val="true"/>
        <sz val="10"/>
        <rFont val="Noto Sans CJK SC"/>
        <family val="2"/>
      </rPr>
      <t xml:space="preserve">兩天拆法（客戶無法一次撥 </t>
    </r>
    <r>
      <rPr>
        <b val="true"/>
        <sz val="10"/>
        <rFont val="Arial"/>
        <family val="0"/>
        <charset val="1"/>
      </rPr>
      <t xml:space="preserve">8 </t>
    </r>
    <r>
      <rPr>
        <b val="true"/>
        <sz val="10"/>
        <rFont val="Noto Sans CJK SC"/>
        <family val="2"/>
      </rPr>
      <t xml:space="preserve">小時時，建議優先採用）</t>
    </r>
  </si>
  <si>
    <r>
      <rPr>
        <sz val="10"/>
        <rFont val="Arial"/>
        <family val="0"/>
        <charset val="1"/>
      </rPr>
      <t xml:space="preserve">Day 1</t>
    </r>
    <r>
      <rPr>
        <sz val="10"/>
        <rFont val="Noto Sans CJK SC"/>
        <family val="2"/>
      </rPr>
      <t xml:space="preserve">（</t>
    </r>
    <r>
      <rPr>
        <sz val="10"/>
        <rFont val="Arial"/>
        <family val="0"/>
        <charset val="1"/>
      </rPr>
      <t xml:space="preserve">4.5H</t>
    </r>
    <r>
      <rPr>
        <sz val="10"/>
        <rFont val="Noto Sans CJK SC"/>
        <family val="2"/>
      </rPr>
      <t xml:space="preserve">）：段</t>
    </r>
    <r>
      <rPr>
        <sz val="10"/>
        <rFont val="Arial"/>
        <family val="0"/>
        <charset val="1"/>
      </rPr>
      <t xml:space="preserve">0 + A + B + C + E </t>
    </r>
    <r>
      <rPr>
        <sz val="10"/>
        <rFont val="Noto Sans CJK SC"/>
        <family val="2"/>
      </rPr>
      <t xml:space="preserve">前半（</t>
    </r>
    <r>
      <rPr>
        <sz val="10"/>
        <rFont val="Arial"/>
        <family val="0"/>
        <charset val="1"/>
      </rPr>
      <t xml:space="preserve">1 </t>
    </r>
    <r>
      <rPr>
        <sz val="10"/>
        <rFont val="Noto Sans CJK SC"/>
        <family val="2"/>
      </rPr>
      <t xml:space="preserve">個排程）→ 先建立「每天會用」的最小可行組合</t>
    </r>
  </si>
  <si>
    <r>
      <rPr>
        <sz val="10"/>
        <rFont val="Arial"/>
        <family val="0"/>
        <charset val="1"/>
      </rPr>
      <t xml:space="preserve">Day 2</t>
    </r>
    <r>
      <rPr>
        <sz val="10"/>
        <rFont val="Noto Sans CJK SC"/>
        <family val="2"/>
      </rPr>
      <t xml:space="preserve">（</t>
    </r>
    <r>
      <rPr>
        <sz val="10"/>
        <rFont val="Arial"/>
        <family val="0"/>
        <charset val="1"/>
      </rPr>
      <t xml:space="preserve">3.5H</t>
    </r>
    <r>
      <rPr>
        <sz val="10"/>
        <rFont val="Noto Sans CJK SC"/>
        <family val="2"/>
      </rPr>
      <t xml:space="preserve">，</t>
    </r>
    <r>
      <rPr>
        <sz val="10"/>
        <rFont val="Arial"/>
        <family val="0"/>
        <charset val="1"/>
      </rPr>
      <t xml:space="preserve">Day1 </t>
    </r>
    <r>
      <rPr>
        <sz val="10"/>
        <rFont val="Noto Sans CJK SC"/>
        <family val="2"/>
      </rPr>
      <t xml:space="preserve">後 </t>
    </r>
    <r>
      <rPr>
        <sz val="10"/>
        <rFont val="Arial"/>
        <family val="0"/>
        <charset val="1"/>
      </rPr>
      <t xml:space="preserve">3-5 </t>
    </r>
    <r>
      <rPr>
        <sz val="10"/>
        <rFont val="Noto Sans CJK SC"/>
        <family val="2"/>
      </rPr>
      <t xml:space="preserve">個工作日）：</t>
    </r>
    <r>
      <rPr>
        <sz val="10"/>
        <rFont val="Arial"/>
        <family val="0"/>
        <charset val="1"/>
      </rPr>
      <t xml:space="preserve">D + E </t>
    </r>
    <r>
      <rPr>
        <sz val="10"/>
        <rFont val="Noto Sans CJK SC"/>
        <family val="2"/>
      </rPr>
      <t xml:space="preserve">後半 </t>
    </r>
    <r>
      <rPr>
        <sz val="10"/>
        <rFont val="Arial"/>
        <family val="0"/>
        <charset val="1"/>
      </rPr>
      <t xml:space="preserve">+ F + G + H → </t>
    </r>
    <r>
      <rPr>
        <sz val="10"/>
        <rFont val="Noto Sans CJK SC"/>
        <family val="2"/>
      </rPr>
      <t xml:space="preserve">帶著 </t>
    </r>
    <r>
      <rPr>
        <sz val="10"/>
        <rFont val="Arial"/>
        <family val="0"/>
        <charset val="1"/>
      </rPr>
      <t xml:space="preserve">Day 1 </t>
    </r>
    <r>
      <rPr>
        <sz val="10"/>
        <rFont val="Noto Sans CJK SC"/>
        <family val="2"/>
      </rPr>
      <t xml:space="preserve">的真實使用紀錄來調整</t>
    </r>
  </si>
  <si>
    <r>
      <rPr>
        <b val="true"/>
        <sz val="10"/>
        <rFont val="Noto Sans CJK SC"/>
        <family val="2"/>
      </rPr>
      <t xml:space="preserve">交付成立要件（</t>
    </r>
    <r>
      <rPr>
        <b val="true"/>
        <sz val="10"/>
        <rFont val="Arial"/>
        <family val="0"/>
        <charset val="1"/>
      </rPr>
      <t xml:space="preserve">v1.1</t>
    </r>
    <r>
      <rPr>
        <b val="true"/>
        <sz val="10"/>
        <rFont val="Noto Sans CJK SC"/>
        <family val="2"/>
      </rPr>
      <t xml:space="preserve">）：核心 </t>
    </r>
    <r>
      <rPr>
        <b val="true"/>
        <sz val="10"/>
        <rFont val="Arial"/>
        <family val="0"/>
        <charset val="1"/>
      </rPr>
      <t xml:space="preserve">2 </t>
    </r>
    <r>
      <rPr>
        <b val="true"/>
        <sz val="10"/>
        <rFont val="Noto Sans CJK SC"/>
        <family val="2"/>
      </rPr>
      <t xml:space="preserve">人全數通過 ＋《環境交付規格書》簽認 ＋《資料落地與管制說明》簽認。</t>
    </r>
  </si>
  <si>
    <t xml:space="preserve">擴散組與主管機制列為建議事項，不列入交付成立要件；逐人檢核未過＝我方免費補訓一次，不寫成交付未完成。</t>
  </si>
  <si>
    <r>
      <rPr>
        <b val="true"/>
        <sz val="13"/>
        <color rgb="FF1F3864"/>
        <rFont val="Noto Sans CJK SC"/>
        <family val="2"/>
      </rPr>
      <t xml:space="preserve">場景庫 </t>
    </r>
    <r>
      <rPr>
        <b val="true"/>
        <sz val="13"/>
        <color rgb="FF1F3864"/>
        <rFont val="Arial"/>
        <family val="0"/>
        <charset val="1"/>
      </rPr>
      <t xml:space="preserve">41 </t>
    </r>
    <r>
      <rPr>
        <b val="true"/>
        <sz val="13"/>
        <color rgb="FF1F3864"/>
        <rFont val="Noto Sans CJK SC"/>
        <family val="2"/>
      </rPr>
      <t xml:space="preserve">張卡總表（與《</t>
    </r>
    <r>
      <rPr>
        <b val="true"/>
        <sz val="13"/>
        <color rgb="FF1F3864"/>
        <rFont val="Arial"/>
        <family val="0"/>
        <charset val="1"/>
      </rPr>
      <t xml:space="preserve">AgentSpace</t>
    </r>
    <r>
      <rPr>
        <b val="true"/>
        <sz val="13"/>
        <color rgb="FF1F3864"/>
        <rFont val="Noto Sans CJK SC"/>
        <family val="2"/>
      </rPr>
      <t xml:space="preserve">場景庫》文件同步；提示詞本體在該文件）</t>
    </r>
  </si>
  <si>
    <r>
      <rPr>
        <i val="true"/>
        <sz val="9"/>
        <color rgb="FF808080"/>
        <rFont val="Noto Sans CJK SC"/>
        <family val="2"/>
      </rPr>
      <t xml:space="preserve">行前組菜單、現場走查、回訪比對都用這一頁。橘底＝執行這張卡要先拿到的資料；『需先取得文件』標 </t>
    </r>
    <r>
      <rPr>
        <i val="true"/>
        <sz val="9"/>
        <color rgb="FF808080"/>
        <rFont val="Arial"/>
        <family val="0"/>
        <charset val="1"/>
      </rPr>
      <t xml:space="preserve">1 </t>
    </r>
    <r>
      <rPr>
        <i val="true"/>
        <sz val="9"/>
        <color rgb="FF808080"/>
        <rFont val="Noto Sans CJK SC"/>
        <family val="2"/>
      </rPr>
      <t xml:space="preserve">者共 </t>
    </r>
    <r>
      <rPr>
        <i val="true"/>
        <sz val="9"/>
        <color rgb="FF808080"/>
        <rFont val="Arial"/>
        <family val="0"/>
        <charset val="1"/>
      </rPr>
      <t xml:space="preserve">7 </t>
    </r>
    <r>
      <rPr>
        <i val="true"/>
        <sz val="9"/>
        <color rgb="FF808080"/>
        <rFont val="Noto Sans CJK SC"/>
        <family val="2"/>
      </rPr>
      <t xml:space="preserve">張，行前拿不到要走替代做法。黃底兩欄為每個客戶填寫。</t>
    </r>
  </si>
  <si>
    <t xml:space="preserve">卡號</t>
  </si>
  <si>
    <t xml:space="preserve">卡名</t>
  </si>
  <si>
    <t xml:space="preserve">層級</t>
  </si>
  <si>
    <t xml:space="preserve">主要使用者</t>
  </si>
  <si>
    <t xml:space="preserve">頻率</t>
  </si>
  <si>
    <t xml:space="preserve">排程建議時間</t>
  </si>
  <si>
    <t xml:space="preserve">輸入資料（執行時要拿什麼）</t>
  </si>
  <si>
    <t xml:space="preserve">交付段落</t>
  </si>
  <si>
    <t xml:space="preserve">💡 對客戶的好處</t>
  </si>
  <si>
    <t xml:space="preserve">需先取得文件</t>
  </si>
  <si>
    <r>
      <rPr>
        <b val="true"/>
        <sz val="10"/>
        <color rgb="FFFFFFFF"/>
        <rFont val="Noto Sans CJK SC"/>
        <family val="2"/>
      </rPr>
      <t xml:space="preserve">本客戶已佈署</t>
    </r>
    <r>
      <rPr>
        <b val="true"/>
        <sz val="10"/>
        <color rgb="FFFFFFFF"/>
        <rFont val="Arial"/>
        <family val="0"/>
        <charset val="1"/>
      </rPr>
      <t xml:space="preserve">(1/0)</t>
    </r>
  </si>
  <si>
    <r>
      <rPr>
        <b val="true"/>
        <sz val="10"/>
        <color rgb="FFFFFFFF"/>
        <rFont val="Noto Sans CJK SC"/>
        <family val="2"/>
      </rPr>
      <t xml:space="preserve">現場跑通</t>
    </r>
    <r>
      <rPr>
        <b val="true"/>
        <sz val="10"/>
        <color rgb="FFFFFFFF"/>
        <rFont val="Arial"/>
        <family val="0"/>
        <charset val="1"/>
      </rPr>
      <t xml:space="preserve">(1/0)</t>
    </r>
  </si>
  <si>
    <t xml:space="preserve">L1-01</t>
  </si>
  <si>
    <t xml:space="preserve">晨間信件摘要與待辦抽取</t>
  </si>
  <si>
    <t xml:space="preserve">L1</t>
  </si>
  <si>
    <t xml:space="preserve">全員</t>
  </si>
  <si>
    <t xml:space="preserve">每日</t>
  </si>
  <si>
    <r>
      <rPr>
        <b val="true"/>
        <sz val="10"/>
        <color rgb="FF1F3864"/>
        <rFont val="Noto Sans CJK SC"/>
        <family val="2"/>
      </rPr>
      <t xml:space="preserve">★每日 </t>
    </r>
    <r>
      <rPr>
        <b val="true"/>
        <sz val="10"/>
        <color rgb="FF1F3864"/>
        <rFont val="Arial"/>
        <family val="0"/>
        <charset val="1"/>
      </rPr>
      <t xml:space="preserve">08:30</t>
    </r>
  </si>
  <si>
    <r>
      <rPr>
        <sz val="10"/>
        <rFont val="Noto Sans CJK SC"/>
        <family val="2"/>
      </rPr>
      <t xml:space="preserve">郵件中心前 </t>
    </r>
    <r>
      <rPr>
        <sz val="10"/>
        <rFont val="Arial"/>
        <family val="0"/>
        <charset val="1"/>
      </rPr>
      <t xml:space="preserve">24H </t>
    </r>
    <r>
      <rPr>
        <sz val="10"/>
        <rFont val="Noto Sans CJK SC"/>
        <family val="2"/>
      </rPr>
      <t xml:space="preserve">未讀信（排程自動讀）</t>
    </r>
  </si>
  <si>
    <t xml:space="preserve">B/C/E</t>
  </si>
  <si>
    <r>
      <rPr>
        <sz val="10"/>
        <rFont val="Noto Sans CJK SC"/>
        <family val="2"/>
      </rPr>
      <t xml:space="preserve">早上不用一封一封點開找哪封要緊，</t>
    </r>
    <r>
      <rPr>
        <sz val="10"/>
        <rFont val="Arial"/>
        <family val="0"/>
        <charset val="1"/>
      </rPr>
      <t xml:space="preserve">10 </t>
    </r>
    <r>
      <rPr>
        <sz val="10"/>
        <rFont val="Noto Sans CJK SC"/>
        <family val="2"/>
      </rPr>
      <t xml:space="preserve">分鐘看完一天的信；答應人的事不會漏掉</t>
    </r>
  </si>
  <si>
    <t xml:space="preserve">L1-02</t>
  </si>
  <si>
    <t xml:space="preserve">這封信幫我回（三種語氣）</t>
  </si>
  <si>
    <t xml:space="preserve">整封來信含往來紀錄</t>
  </si>
  <si>
    <t xml:space="preserve">C</t>
  </si>
  <si>
    <r>
      <rPr>
        <sz val="10"/>
        <rFont val="Noto Sans CJK SC"/>
        <family val="2"/>
      </rPr>
      <t xml:space="preserve">卡住不知道怎麼開頭的信，</t>
    </r>
    <r>
      <rPr>
        <sz val="10"/>
        <rFont val="Arial"/>
        <family val="0"/>
        <charset val="1"/>
      </rPr>
      <t xml:space="preserve">30 </t>
    </r>
    <r>
      <rPr>
        <sz val="10"/>
        <rFont val="Noto Sans CJK SC"/>
        <family val="2"/>
      </rPr>
      <t xml:space="preserve">秒有三個版本可挑</t>
    </r>
  </si>
  <si>
    <t xml:space="preserve">L1-03</t>
  </si>
  <si>
    <t xml:space="preserve">會議錄音／逐字稿 → 會議紀錄</t>
  </si>
  <si>
    <r>
      <rPr>
        <sz val="10"/>
        <rFont val="Noto Sans CJK SC"/>
        <family val="2"/>
      </rPr>
      <t xml:space="preserve">主管、</t>
    </r>
    <r>
      <rPr>
        <sz val="10"/>
        <rFont val="Arial"/>
        <family val="0"/>
        <charset val="1"/>
      </rPr>
      <t xml:space="preserve">PM</t>
    </r>
  </si>
  <si>
    <t xml:space="preserve">每週</t>
  </si>
  <si>
    <t xml:space="preserve">會議錄音檔或逐字稿</t>
  </si>
  <si>
    <r>
      <rPr>
        <sz val="10"/>
        <rFont val="Noto Sans CJK SC"/>
        <family val="2"/>
      </rPr>
      <t xml:space="preserve">會後不用再花 </t>
    </r>
    <r>
      <rPr>
        <sz val="10"/>
        <rFont val="Arial"/>
        <family val="0"/>
        <charset val="1"/>
      </rPr>
      <t xml:space="preserve">40 </t>
    </r>
    <r>
      <rPr>
        <sz val="10"/>
        <rFont val="Noto Sans CJK SC"/>
        <family val="2"/>
      </rPr>
      <t xml:space="preserve">分鐘整理；誰做什麼、什麼時候前不會各說各話</t>
    </r>
  </si>
  <si>
    <t xml:space="preserve">L1-04</t>
  </si>
  <si>
    <r>
      <rPr>
        <sz val="10"/>
        <rFont val="Noto Sans CJK SC"/>
        <family val="2"/>
      </rPr>
      <t xml:space="preserve">長文件 </t>
    </r>
    <r>
      <rPr>
        <sz val="10"/>
        <rFont val="Arial"/>
        <family val="0"/>
        <charset val="1"/>
      </rPr>
      <t xml:space="preserve">3 </t>
    </r>
    <r>
      <rPr>
        <sz val="10"/>
        <rFont val="Noto Sans CJK SC"/>
        <family val="2"/>
      </rPr>
      <t xml:space="preserve">分鐘讀懂</t>
    </r>
  </si>
  <si>
    <r>
      <rPr>
        <sz val="10"/>
        <rFont val="Arial"/>
        <family val="0"/>
        <charset val="1"/>
      </rPr>
      <t xml:space="preserve">10 </t>
    </r>
    <r>
      <rPr>
        <sz val="10"/>
        <rFont val="Noto Sans CJK SC"/>
        <family val="2"/>
      </rPr>
      <t xml:space="preserve">頁以上 </t>
    </r>
    <r>
      <rPr>
        <sz val="10"/>
        <rFont val="Arial"/>
        <family val="0"/>
        <charset val="1"/>
      </rPr>
      <t xml:space="preserve">PDF</t>
    </r>
    <r>
      <rPr>
        <sz val="10"/>
        <rFont val="Noto Sans CJK SC"/>
        <family val="2"/>
      </rPr>
      <t xml:space="preserve">／</t>
    </r>
    <r>
      <rPr>
        <sz val="10"/>
        <rFont val="Arial"/>
        <family val="0"/>
        <charset val="1"/>
      </rPr>
      <t xml:space="preserve">Word</t>
    </r>
    <r>
      <rPr>
        <sz val="10"/>
        <rFont val="Noto Sans CJK SC"/>
        <family val="2"/>
      </rPr>
      <t xml:space="preserve">／報告</t>
    </r>
  </si>
  <si>
    <t xml:space="preserve">B/C</t>
  </si>
  <si>
    <t xml:space="preserve">十頁以上三分鐘知道要不要細看、該追問什麼</t>
  </si>
  <si>
    <t xml:space="preserve">L1-05</t>
  </si>
  <si>
    <t xml:space="preserve">中英日翻譯＋商務潤飾</t>
  </si>
  <si>
    <t xml:space="preserve">有海外往來者</t>
  </si>
  <si>
    <t xml:space="preserve">原文段落或外文文件</t>
  </si>
  <si>
    <t xml:space="preserve">不用等英文好的同事有空，也不會寄出失禮的信</t>
  </si>
  <si>
    <t xml:space="preserve">L1-06</t>
  </si>
  <si>
    <t xml:space="preserve">週報草稿自動生成</t>
  </si>
  <si>
    <r>
      <rPr>
        <b val="true"/>
        <sz val="10"/>
        <color rgb="FF1F3864"/>
        <rFont val="Noto Sans CJK SC"/>
        <family val="2"/>
      </rPr>
      <t xml:space="preserve">★每週五 </t>
    </r>
    <r>
      <rPr>
        <b val="true"/>
        <sz val="10"/>
        <color rgb="FF1F3864"/>
        <rFont val="Arial"/>
        <family val="0"/>
        <charset val="1"/>
      </rPr>
      <t xml:space="preserve">16:00</t>
    </r>
  </si>
  <si>
    <t xml:space="preserve">本週個人待辦完成紀錄＋會議紀錄</t>
  </si>
  <si>
    <t xml:space="preserve">E</t>
  </si>
  <si>
    <t xml:space="preserve">週五下午不用從頭想這週做了什麼</t>
  </si>
  <si>
    <t xml:space="preserve">L1-07</t>
  </si>
  <si>
    <t xml:space="preserve">簡報大綱生成</t>
  </si>
  <si>
    <t xml:space="preserve">需做簡報者</t>
  </si>
  <si>
    <t xml:space="preserve">不定期</t>
  </si>
  <si>
    <t xml:space="preserve">相關資料或一段口述需求</t>
  </si>
  <si>
    <t xml:space="preserve">不用對著空白投影片發呆，先有骨架再找素材</t>
  </si>
  <si>
    <t xml:space="preserve">L1-08</t>
  </si>
  <si>
    <r>
      <rPr>
        <sz val="10"/>
        <rFont val="Arial"/>
        <family val="0"/>
        <charset val="1"/>
      </rPr>
      <t xml:space="preserve">Excel </t>
    </r>
    <r>
      <rPr>
        <sz val="10"/>
        <rFont val="Noto Sans CJK SC"/>
        <family val="2"/>
      </rPr>
      <t xml:space="preserve">數據找異常</t>
    </r>
  </si>
  <si>
    <t xml:space="preserve">需看報表者</t>
  </si>
  <si>
    <r>
      <rPr>
        <sz val="10"/>
        <rFont val="Arial"/>
        <family val="0"/>
        <charset val="1"/>
      </rPr>
      <t xml:space="preserve">Excel</t>
    </r>
    <r>
      <rPr>
        <sz val="10"/>
        <rFont val="Noto Sans CJK SC"/>
        <family val="2"/>
      </rPr>
      <t xml:space="preserve">／</t>
    </r>
    <r>
      <rPr>
        <sz val="10"/>
        <rFont val="Arial"/>
        <family val="0"/>
        <charset val="1"/>
      </rPr>
      <t xml:space="preserve">CSV </t>
    </r>
    <r>
      <rPr>
        <sz val="10"/>
        <rFont val="Noto Sans CJK SC"/>
        <family val="2"/>
      </rPr>
      <t xml:space="preserve">檔</t>
    </r>
  </si>
  <si>
    <t xml:space="preserve">C/F</t>
  </si>
  <si>
    <t xml:space="preserve">不用逐格看；算式看得到可以自己驗算</t>
  </si>
  <si>
    <t xml:space="preserve">L1-09</t>
  </si>
  <si>
    <t xml:space="preserve">客訴／需求信處理建議</t>
  </si>
  <si>
    <t xml:space="preserve">客服、業務、技服</t>
  </si>
  <si>
    <t xml:space="preserve">客訴或需求來信</t>
  </si>
  <si>
    <t xml:space="preserve">F</t>
  </si>
  <si>
    <t xml:space="preserve">情緒跟訴求被分開，回信不會越回越糟</t>
  </si>
  <si>
    <t xml:space="preserve">L1-10</t>
  </si>
  <si>
    <r>
      <rPr>
        <sz val="10"/>
        <rFont val="Noto Sans CJK SC"/>
        <family val="2"/>
      </rPr>
      <t xml:space="preserve">會議前 </t>
    </r>
    <r>
      <rPr>
        <sz val="10"/>
        <rFont val="Arial"/>
        <family val="0"/>
        <charset val="1"/>
      </rPr>
      <t xml:space="preserve">5 </t>
    </r>
    <r>
      <rPr>
        <sz val="10"/>
        <rFont val="Noto Sans CJK SC"/>
        <family val="2"/>
      </rPr>
      <t xml:space="preserve">分鐘備戰</t>
    </r>
  </si>
  <si>
    <t xml:space="preserve">上次會議紀錄＋本次議程</t>
  </si>
  <si>
    <t xml:space="preserve">開會前知道上次答應什麼、今天可能被問什麼</t>
  </si>
  <si>
    <t xml:space="preserve">L1-11</t>
  </si>
  <si>
    <t xml:space="preserve">公告一鍵三版本</t>
  </si>
  <si>
    <t xml:space="preserve">行政、人資、主管</t>
  </si>
  <si>
    <t xml:space="preserve">一段口述的公告重點</t>
  </si>
  <si>
    <t xml:space="preserve">一次寫好公文／群組／簡訊，三版說法不會不一致</t>
  </si>
  <si>
    <t xml:space="preserve">L1-12</t>
  </si>
  <si>
    <t xml:space="preserve">今日待辦整理與排序</t>
  </si>
  <si>
    <r>
      <rPr>
        <b val="true"/>
        <sz val="10"/>
        <color rgb="FF1F3864"/>
        <rFont val="Noto Sans CJK SC"/>
        <family val="2"/>
      </rPr>
      <t xml:space="preserve">★每日 </t>
    </r>
    <r>
      <rPr>
        <b val="true"/>
        <sz val="10"/>
        <color rgb="FF1F3864"/>
        <rFont val="Arial"/>
        <family val="0"/>
        <charset val="1"/>
      </rPr>
      <t xml:space="preserve">09:00</t>
    </r>
  </si>
  <si>
    <t xml:space="preserve">個人待辦（排程自動讀）</t>
  </si>
  <si>
    <t xml:space="preserve">逾期的會自己跳出來，不用等被催</t>
  </si>
  <si>
    <t xml:space="preserve">L1-13</t>
  </si>
  <si>
    <t xml:space="preserve">訪談／面試逐字稿整理</t>
  </si>
  <si>
    <t xml:space="preserve">人資、主管、業務</t>
  </si>
  <si>
    <t xml:space="preserve">訪談錄音或逐字稿</t>
  </si>
  <si>
    <t xml:space="preserve">從憑印象評人變成憑原話評人，事後有據可查</t>
  </si>
  <si>
    <t xml:space="preserve">L1-14</t>
  </si>
  <si>
    <t xml:space="preserve">合約／報價單重點與提醒</t>
  </si>
  <si>
    <t xml:space="preserve">業務、採購、主管</t>
  </si>
  <si>
    <t xml:space="preserve">合約或報價單檔案</t>
  </si>
  <si>
    <t xml:space="preserve">金額期限一目了然，該注意的條款附條號</t>
  </si>
  <si>
    <t xml:space="preserve">L1-15</t>
  </si>
  <si>
    <r>
      <rPr>
        <sz val="10"/>
        <rFont val="Noto Sans CJK SC"/>
        <family val="2"/>
      </rPr>
      <t xml:space="preserve">本週知識沉澱進 </t>
    </r>
    <r>
      <rPr>
        <sz val="10"/>
        <rFont val="Arial"/>
        <family val="0"/>
        <charset val="1"/>
      </rPr>
      <t xml:space="preserve">Wiki</t>
    </r>
  </si>
  <si>
    <r>
      <rPr>
        <b val="true"/>
        <sz val="10"/>
        <color rgb="FF1F3864"/>
        <rFont val="Noto Sans CJK SC"/>
        <family val="2"/>
      </rPr>
      <t xml:space="preserve">★每週五 </t>
    </r>
    <r>
      <rPr>
        <b val="true"/>
        <sz val="10"/>
        <color rgb="FF1F3864"/>
        <rFont val="Arial"/>
        <family val="0"/>
        <charset val="1"/>
      </rPr>
      <t xml:space="preserve">17:00</t>
    </r>
  </si>
  <si>
    <t xml:space="preserve">本週平台對話紀錄（排程自動讀）</t>
  </si>
  <si>
    <t xml:space="preserve">問過一次的不用問第二次；人員異動做法留得下來</t>
  </si>
  <si>
    <t xml:space="preserve">L2-MIS-01</t>
  </si>
  <si>
    <r>
      <rPr>
        <sz val="10"/>
        <rFont val="Arial"/>
        <family val="0"/>
        <charset val="1"/>
      </rPr>
      <t xml:space="preserve">⭐ ERP </t>
    </r>
    <r>
      <rPr>
        <sz val="10"/>
        <rFont val="Noto Sans CJK SC"/>
        <family val="2"/>
      </rPr>
      <t xml:space="preserve">操作問答</t>
    </r>
  </si>
  <si>
    <t xml:space="preserve">L2-MIS</t>
  </si>
  <si>
    <r>
      <rPr>
        <sz val="10"/>
        <rFont val="Noto Sans CJK SC"/>
        <family val="2"/>
      </rPr>
      <t xml:space="preserve">全公司（</t>
    </r>
    <r>
      <rPr>
        <sz val="10"/>
        <rFont val="Arial"/>
        <family val="0"/>
        <charset val="1"/>
      </rPr>
      <t xml:space="preserve">IT </t>
    </r>
    <r>
      <rPr>
        <sz val="10"/>
        <rFont val="Noto Sans CJK SC"/>
        <family val="2"/>
      </rPr>
      <t xml:space="preserve">建置）</t>
    </r>
  </si>
  <si>
    <r>
      <rPr>
        <sz val="10"/>
        <rFont val="Noto Sans CJK SC"/>
        <family val="2"/>
      </rPr>
      <t xml:space="preserve">鼎新 </t>
    </r>
    <r>
      <rPr>
        <sz val="10"/>
        <rFont val="Arial"/>
        <family val="0"/>
        <charset val="1"/>
      </rPr>
      <t xml:space="preserve">ERP </t>
    </r>
    <r>
      <rPr>
        <sz val="10"/>
        <rFont val="Noto Sans CJK SC"/>
        <family val="2"/>
      </rPr>
      <t xml:space="preserve">操作手冊＋客戶客製說明（客製說明向內部 </t>
    </r>
    <r>
      <rPr>
        <sz val="10"/>
        <rFont val="Arial"/>
        <family val="0"/>
        <charset val="1"/>
      </rPr>
      <t xml:space="preserve">ERP </t>
    </r>
    <r>
      <rPr>
        <sz val="10"/>
        <rFont val="Noto Sans CJK SC"/>
        <family val="2"/>
      </rPr>
      <t xml:space="preserve">顧問取得）</t>
    </r>
  </si>
  <si>
    <t xml:space="preserve">同事自己查得到怎麼開單，資訊課一天少接十通電話。全庫最高價值的一張</t>
  </si>
  <si>
    <t xml:space="preserve">L2-MIS-02</t>
  </si>
  <si>
    <t xml:space="preserve">報修訊息分類與初步排除</t>
  </si>
  <si>
    <r>
      <rPr>
        <sz val="10"/>
        <rFont val="Arial"/>
        <family val="0"/>
        <charset val="1"/>
      </rPr>
      <t xml:space="preserve">IT</t>
    </r>
    <r>
      <rPr>
        <sz val="10"/>
        <rFont val="Noto Sans CJK SC"/>
        <family val="2"/>
      </rPr>
      <t xml:space="preserve">／</t>
    </r>
    <r>
      <rPr>
        <sz val="10"/>
        <rFont val="Arial"/>
        <family val="0"/>
        <charset val="1"/>
      </rPr>
      <t xml:space="preserve">MIS</t>
    </r>
  </si>
  <si>
    <t xml:space="preserve">群組報修訊息＋客戶常見狀況清單</t>
  </si>
  <si>
    <t xml:space="preserve">先請使用者自己試三招，一半報修不用你出手</t>
  </si>
  <si>
    <t xml:space="preserve">L2-MIS-03</t>
  </si>
  <si>
    <r>
      <rPr>
        <sz val="10"/>
        <rFont val="Noto Sans CJK SC"/>
        <family val="2"/>
      </rPr>
      <t xml:space="preserve">伺服器／機台 </t>
    </r>
    <r>
      <rPr>
        <sz val="10"/>
        <rFont val="Arial"/>
        <family val="0"/>
        <charset val="1"/>
      </rPr>
      <t xml:space="preserve">log </t>
    </r>
    <r>
      <rPr>
        <sz val="10"/>
        <rFont val="Noto Sans CJK SC"/>
        <family val="2"/>
      </rPr>
      <t xml:space="preserve">找異常</t>
    </r>
  </si>
  <si>
    <r>
      <rPr>
        <sz val="10"/>
        <rFont val="Arial"/>
        <family val="0"/>
        <charset val="1"/>
      </rPr>
      <t xml:space="preserve">log </t>
    </r>
    <r>
      <rPr>
        <sz val="10"/>
        <rFont val="Noto Sans CJK SC"/>
        <family val="2"/>
      </rPr>
      <t xml:space="preserve">檔或片段＋異常大概時間</t>
    </r>
  </si>
  <si>
    <t xml:space="preserve">B/F</t>
  </si>
  <si>
    <t xml:space="preserve">當機時不用從幾千行大海撈針，縮短停機時間</t>
  </si>
  <si>
    <t xml:space="preserve">L2-MIS-04</t>
  </si>
  <si>
    <t xml:space="preserve">原廠英文技術文件重點與翻譯</t>
  </si>
  <si>
    <r>
      <rPr>
        <sz val="10"/>
        <rFont val="Noto Sans CJK SC"/>
        <family val="2"/>
      </rPr>
      <t xml:space="preserve">原廠手冊／</t>
    </r>
    <r>
      <rPr>
        <sz val="10"/>
        <rFont val="Arial"/>
        <family val="0"/>
        <charset val="1"/>
      </rPr>
      <t xml:space="preserve">release note</t>
    </r>
    <r>
      <rPr>
        <sz val="10"/>
        <rFont val="Noto Sans CJK SC"/>
        <family val="2"/>
      </rPr>
      <t xml:space="preserve">／</t>
    </r>
    <r>
      <rPr>
        <sz val="10"/>
        <rFont val="Arial"/>
        <family val="0"/>
        <charset val="1"/>
      </rPr>
      <t xml:space="preserve">KB </t>
    </r>
    <r>
      <rPr>
        <sz val="10"/>
        <rFont val="Noto Sans CJK SC"/>
        <family val="2"/>
      </rPr>
      <t xml:space="preserve">文章</t>
    </r>
  </si>
  <si>
    <t xml:space="preserve">讀原廠文件不再是一整個下午的事</t>
  </si>
  <si>
    <t xml:space="preserve">L2-MIS-05</t>
  </si>
  <si>
    <t xml:space="preserve">報表需求 → 技術規格</t>
  </si>
  <si>
    <r>
      <rPr>
        <sz val="10"/>
        <rFont val="Noto Sans CJK SC"/>
        <family val="2"/>
      </rPr>
      <t xml:space="preserve">使用者口語需求＋客戶 </t>
    </r>
    <r>
      <rPr>
        <sz val="10"/>
        <rFont val="Arial"/>
        <family val="0"/>
        <charset val="1"/>
      </rPr>
      <t xml:space="preserve">ERP </t>
    </r>
    <r>
      <rPr>
        <sz val="10"/>
        <rFont val="Noto Sans CJK SC"/>
        <family val="2"/>
      </rPr>
      <t xml:space="preserve">版本模組</t>
    </r>
  </si>
  <si>
    <t xml:space="preserve">一句話的需求變成可動手的規格，還告訴你要先問哪五件事</t>
  </si>
  <si>
    <t xml:space="preserve">L2-MIS-06</t>
  </si>
  <si>
    <t xml:space="preserve">⭐ 每日系統健檢摘要</t>
  </si>
  <si>
    <r>
      <rPr>
        <b val="true"/>
        <sz val="10"/>
        <color rgb="FF1F3864"/>
        <rFont val="Noto Sans CJK SC"/>
        <family val="2"/>
      </rPr>
      <t xml:space="preserve">★每日 </t>
    </r>
    <r>
      <rPr>
        <b val="true"/>
        <sz val="10"/>
        <color rgb="FF1F3864"/>
        <rFont val="Arial"/>
        <family val="0"/>
        <charset val="1"/>
      </rPr>
      <t xml:space="preserve">08:00</t>
    </r>
  </si>
  <si>
    <r>
      <rPr>
        <sz val="10"/>
        <rFont val="Noto Sans CJK SC"/>
        <family val="2"/>
      </rPr>
      <t xml:space="preserve">備份紀錄、磁碟空間、系統 </t>
    </r>
    <r>
      <rPr>
        <sz val="10"/>
        <rFont val="Arial"/>
        <family val="0"/>
        <charset val="1"/>
      </rPr>
      <t xml:space="preserve">log</t>
    </r>
    <r>
      <rPr>
        <sz val="10"/>
        <rFont val="Noto Sans CJK SC"/>
        <family val="2"/>
      </rPr>
      <t xml:space="preserve">（需 </t>
    </r>
    <r>
      <rPr>
        <sz val="10"/>
        <rFont val="Arial"/>
        <family val="0"/>
        <charset val="1"/>
      </rPr>
      <t xml:space="preserve">IT </t>
    </r>
    <r>
      <rPr>
        <sz val="10"/>
        <rFont val="Noto Sans CJK SC"/>
        <family val="2"/>
      </rPr>
      <t xml:space="preserve">先給監看清單）</t>
    </r>
  </si>
  <si>
    <t xml:space="preserve">上班前就知道昨晚備份成不成功，不是出事才發現</t>
  </si>
  <si>
    <t xml:space="preserve">L2-SEC-01</t>
  </si>
  <si>
    <t xml:space="preserve">弱點掃描報告解讀與派工</t>
  </si>
  <si>
    <t xml:space="preserve">L2-SEC</t>
  </si>
  <si>
    <t xml:space="preserve">資安人員</t>
  </si>
  <si>
    <t xml:space="preserve">每月</t>
  </si>
  <si>
    <r>
      <rPr>
        <sz val="10"/>
        <rFont val="Noto Sans CJK SC"/>
        <family val="2"/>
      </rPr>
      <t xml:space="preserve">掃描報告 </t>
    </r>
    <r>
      <rPr>
        <sz val="10"/>
        <rFont val="Arial"/>
        <family val="0"/>
        <charset val="1"/>
      </rPr>
      <t xml:space="preserve">CSV</t>
    </r>
    <r>
      <rPr>
        <sz val="10"/>
        <rFont val="Noto Sans CJK SC"/>
        <family val="2"/>
      </rPr>
      <t xml:space="preserve">／</t>
    </r>
    <r>
      <rPr>
        <sz val="10"/>
        <rFont val="Arial"/>
        <family val="0"/>
        <charset val="1"/>
      </rPr>
      <t xml:space="preserve">PDF</t>
    </r>
    <r>
      <rPr>
        <sz val="10"/>
        <rFont val="Noto Sans CJK SC"/>
        <family val="2"/>
      </rPr>
      <t xml:space="preserve">＋客戶修補 </t>
    </r>
    <r>
      <rPr>
        <sz val="10"/>
        <rFont val="Arial"/>
        <family val="0"/>
        <charset val="1"/>
      </rPr>
      <t xml:space="preserve">SLA </t>
    </r>
    <r>
      <rPr>
        <sz val="10"/>
        <rFont val="Noto Sans CJK SC"/>
        <family val="2"/>
      </rPr>
      <t xml:space="preserve">天數</t>
    </r>
  </si>
  <si>
    <t xml:space="preserve">報告變成可派工的表，到期日是算出來的不是憑感覺</t>
  </si>
  <si>
    <t xml:space="preserve">L2-SEC-02</t>
  </si>
  <si>
    <t xml:space="preserve">資安法規問答</t>
  </si>
  <si>
    <t xml:space="preserve">法遵、資安</t>
  </si>
  <si>
    <t xml:space="preserve">法規知識庫（掛法規遵循專家）＋客戶產業別</t>
  </si>
  <si>
    <t xml:space="preserve">答案有條號，查不到會明說查不到</t>
  </si>
  <si>
    <t xml:space="preserve">L2-SEC-03</t>
  </si>
  <si>
    <t xml:space="preserve">資安事件通報時限判定</t>
  </si>
  <si>
    <t xml:space="preserve">事件時</t>
  </si>
  <si>
    <t xml:space="preserve">事件發現時間＋事件概述＋產業別</t>
  </si>
  <si>
    <t xml:space="preserve">出事當下把幾點前要通報誰算清楚，不會錯過法定時限</t>
  </si>
  <si>
    <t xml:space="preserve">L2-SEC-04</t>
  </si>
  <si>
    <t xml:space="preserve">每日資安情資摘要</t>
  </si>
  <si>
    <t xml:space="preserve">情資來源＋客戶系統與廠牌清單</t>
  </si>
  <si>
    <t xml:space="preserve">E/F</t>
  </si>
  <si>
    <t xml:space="preserve">只看跟自己系統有關的，不用每天翻一堆用不到的</t>
  </si>
  <si>
    <t xml:space="preserve">L2-SEC-05</t>
  </si>
  <si>
    <t xml:space="preserve">設備告警日誌摘要</t>
  </si>
  <si>
    <r>
      <rPr>
        <sz val="10"/>
        <rFont val="Arial"/>
        <family val="0"/>
        <charset val="1"/>
      </rPr>
      <t xml:space="preserve">IT </t>
    </r>
    <r>
      <rPr>
        <sz val="10"/>
        <rFont val="Noto Sans CJK SC"/>
        <family val="2"/>
      </rPr>
      <t xml:space="preserve">運維</t>
    </r>
  </si>
  <si>
    <t xml:space="preserve">可每日</t>
  </si>
  <si>
    <t xml:space="preserve">告警日誌＋已知雜訊類型清單</t>
  </si>
  <si>
    <t xml:space="preserve">知道哪些是雜訊、哪五件要人處理</t>
  </si>
  <si>
    <t xml:space="preserve">L2-SEC-06</t>
  </si>
  <si>
    <t xml:space="preserve">資安週報草稿</t>
  </si>
  <si>
    <t xml:space="preserve">資安主管</t>
  </si>
  <si>
    <t xml:space="preserve">本週事件紀錄與待辦</t>
  </si>
  <si>
    <t xml:space="preserve">週報半小時變五分鐘，數字從紀錄算出來</t>
  </si>
  <si>
    <t xml:space="preserve">L2-HR-01</t>
  </si>
  <si>
    <r>
      <rPr>
        <sz val="10"/>
        <rFont val="Noto Sans CJK SC"/>
        <family val="2"/>
      </rPr>
      <t xml:space="preserve">職缺 </t>
    </r>
    <r>
      <rPr>
        <sz val="10"/>
        <rFont val="Arial"/>
        <family val="0"/>
        <charset val="1"/>
      </rPr>
      <t xml:space="preserve">JD </t>
    </r>
    <r>
      <rPr>
        <sz val="10"/>
        <rFont val="Noto Sans CJK SC"/>
        <family val="2"/>
      </rPr>
      <t xml:space="preserve">撰寫</t>
    </r>
  </si>
  <si>
    <t xml:space="preserve">L2-HR</t>
  </si>
  <si>
    <t xml:space="preserve">人資</t>
  </si>
  <si>
    <t xml:space="preserve">職稱＋這個人最重要的一件工作</t>
  </si>
  <si>
    <t xml:space="preserve">不用從別家抄，也不會誤寫歧視性條件</t>
  </si>
  <si>
    <t xml:space="preserve">L2-HR-02</t>
  </si>
  <si>
    <t xml:space="preserve">面試題目生成</t>
  </si>
  <si>
    <t xml:space="preserve">人資、主管</t>
  </si>
  <si>
    <t xml:space="preserve">職稱＋要驗證的能力</t>
  </si>
  <si>
    <t xml:space="preserve">不用臨場想題目，同一職缺標準一致</t>
  </si>
  <si>
    <t xml:space="preserve">L2-HR-03</t>
  </si>
  <si>
    <r>
      <rPr>
        <sz val="10"/>
        <rFont val="Noto Sans CJK SC"/>
        <family val="2"/>
      </rPr>
      <t xml:space="preserve">公司規章 </t>
    </r>
    <r>
      <rPr>
        <sz val="10"/>
        <rFont val="Arial"/>
        <family val="0"/>
        <charset val="1"/>
      </rPr>
      <t xml:space="preserve">Q&amp;A</t>
    </r>
  </si>
  <si>
    <t xml:space="preserve">全員（人資建置）</t>
  </si>
  <si>
    <t xml:space="preserve">客戶公司規章文件（建置時掛知識庫）</t>
  </si>
  <si>
    <t xml:space="preserve">同仁自己查得到，人資少接電話；不會一人一個說法</t>
  </si>
  <si>
    <t xml:space="preserve">L2-HR-04</t>
  </si>
  <si>
    <t xml:space="preserve">教育訓練課後摘要</t>
  </si>
  <si>
    <t xml:space="preserve">課程錄音或講義</t>
  </si>
  <si>
    <t xml:space="preserve">有摘要、有三件馬上能做的事、有測驗題</t>
  </si>
  <si>
    <t xml:space="preserve">L2-SAL-01</t>
  </si>
  <si>
    <t xml:space="preserve">客戶會議紀錄 → 跟進待辦</t>
  </si>
  <si>
    <t xml:space="preserve">L2-SAL</t>
  </si>
  <si>
    <t xml:space="preserve">業務</t>
  </si>
  <si>
    <t xml:space="preserve">客戶會議錄音或筆記（客戶名用代稱）</t>
  </si>
  <si>
    <t xml:space="preserve">客戶說過什麼、我們答應什麼留著，交接不斷線</t>
  </si>
  <si>
    <t xml:space="preserve">L2-SAL-02</t>
  </si>
  <si>
    <t xml:space="preserve">提案大綱</t>
  </si>
  <si>
    <t xml:space="preserve">客戶類型＋痛點一句話＋頁數</t>
  </si>
  <si>
    <t xml:space="preserve">從客戶的問題開場而不是公司簡介</t>
  </si>
  <si>
    <t xml:space="preserve">L2-SAL-03</t>
  </si>
  <si>
    <t xml:space="preserve">競品資料整理</t>
  </si>
  <si>
    <t xml:space="preserve">競品名稱＋比較面向＋既有公開資料</t>
  </si>
  <si>
    <t xml:space="preserve">每格都標來源與可信度，在客戶面前不會被問倒</t>
  </si>
  <si>
    <t xml:space="preserve">L2-SAL-04</t>
  </si>
  <si>
    <t xml:space="preserve">報價說明信草稿</t>
  </si>
  <si>
    <t xml:space="preserve">報價項目與範圍（金額用佔位符）</t>
  </si>
  <si>
    <r>
      <rPr>
        <sz val="10"/>
        <rFont val="Noto Sans CJK SC"/>
        <family val="2"/>
      </rPr>
      <t xml:space="preserve">金額由人填、信由 </t>
    </r>
    <r>
      <rPr>
        <sz val="10"/>
        <rFont val="Arial"/>
        <family val="0"/>
        <charset val="1"/>
      </rPr>
      <t xml:space="preserve">AI </t>
    </r>
    <r>
      <rPr>
        <sz val="10"/>
        <rFont val="Noto Sans CJK SC"/>
        <family val="2"/>
      </rPr>
      <t xml:space="preserve">起草，不會漏講範圍</t>
    </r>
  </si>
  <si>
    <t xml:space="preserve">L2-FIN-01</t>
  </si>
  <si>
    <r>
      <rPr>
        <sz val="10"/>
        <rFont val="Noto Sans CJK SC"/>
        <family val="2"/>
      </rPr>
      <t xml:space="preserve">費用政策 </t>
    </r>
    <r>
      <rPr>
        <sz val="10"/>
        <rFont val="Arial"/>
        <family val="0"/>
        <charset val="1"/>
      </rPr>
      <t xml:space="preserve">Q&amp;A</t>
    </r>
  </si>
  <si>
    <t xml:space="preserve">L2-FIN</t>
  </si>
  <si>
    <t xml:space="preserve">全員（財會建置）</t>
  </si>
  <si>
    <t xml:space="preserve">客戶費用報銷規定（建置時掛知識庫）</t>
  </si>
  <si>
    <t xml:space="preserve">同仁自己查，會計少接電話；規定沒寫的會叫他來問人</t>
  </si>
  <si>
    <t xml:space="preserve">L2-FIN-02</t>
  </si>
  <si>
    <t xml:space="preserve">報表異常說明草稿</t>
  </si>
  <si>
    <t xml:space="preserve">財會</t>
  </si>
  <si>
    <t xml:space="preserve">本期與上期報表對照＋異常門檻</t>
  </si>
  <si>
    <t xml:space="preserve">變動大的自動挑出來，說明稿附算式</t>
  </si>
  <si>
    <t xml:space="preserve">L2-FIN-03</t>
  </si>
  <si>
    <t xml:space="preserve">月結檢核清單</t>
  </si>
  <si>
    <t xml:space="preserve">客戶月結流程知識庫（建置時掛載）</t>
  </si>
  <si>
    <t xml:space="preserve">月結不靠某個人的記憶，人請假也不漏步驟</t>
  </si>
  <si>
    <t xml:space="preserve">L2-MFG-01</t>
  </si>
  <si>
    <t xml:space="preserve">異常單摘要與分群</t>
  </si>
  <si>
    <t xml:space="preserve">L2-MFG</t>
  </si>
  <si>
    <t xml:space="preserve">生管、製造</t>
  </si>
  <si>
    <t xml:space="preserve">可每週</t>
  </si>
  <si>
    <t xml:space="preserve">本週異常單</t>
  </si>
  <si>
    <t xml:space="preserve">重複發生的先浮出來，才知道該改哪一站哪個料號</t>
  </si>
  <si>
    <t xml:space="preserve">L2-MFG-02</t>
  </si>
  <si>
    <r>
      <rPr>
        <sz val="10"/>
        <rFont val="Arial"/>
        <family val="0"/>
        <charset val="1"/>
      </rPr>
      <t xml:space="preserve">SOP </t>
    </r>
    <r>
      <rPr>
        <sz val="10"/>
        <rFont val="Noto Sans CJK SC"/>
        <family val="2"/>
      </rPr>
      <t xml:space="preserve">改寫為現場版本</t>
    </r>
  </si>
  <si>
    <r>
      <rPr>
        <sz val="10"/>
        <rFont val="Noto Sans CJK SC"/>
        <family val="2"/>
      </rPr>
      <t xml:space="preserve">原 </t>
    </r>
    <r>
      <rPr>
        <sz val="10"/>
        <rFont val="Arial"/>
        <family val="0"/>
        <charset val="1"/>
      </rPr>
      <t xml:space="preserve">SOP </t>
    </r>
    <r>
      <rPr>
        <sz val="10"/>
        <rFont val="Noto Sans CJK SC"/>
        <family val="2"/>
      </rPr>
      <t xml:space="preserve">文件（含版本號）</t>
    </r>
  </si>
  <si>
    <t xml:space="preserve">現場看得懂，數值與順序一個不動，減少重工</t>
  </si>
  <si>
    <t xml:space="preserve">L2-MFG-03</t>
  </si>
  <si>
    <t xml:space="preserve">供應商評估資料整理</t>
  </si>
  <si>
    <t xml:space="preserve">採購、生管</t>
  </si>
  <si>
    <t xml:space="preserve">供應商交期／品質／價格既有資料</t>
  </si>
  <si>
    <t xml:space="preserve">沒資料的欄位就寫無資料，不拿平均值充數</t>
  </si>
  <si>
    <t xml:space="preserve">本客戶佈署統計</t>
  </si>
  <si>
    <r>
      <rPr>
        <b val="true"/>
        <sz val="10"/>
        <rFont val="Noto Sans CJK SC"/>
        <family val="2"/>
      </rPr>
      <t xml:space="preserve">已佈署卡數（目標 </t>
    </r>
    <r>
      <rPr>
        <b val="true"/>
        <sz val="10"/>
        <rFont val="Arial"/>
        <family val="0"/>
        <charset val="1"/>
      </rPr>
      <t xml:space="preserve">8-10 </t>
    </r>
    <r>
      <rPr>
        <b val="true"/>
        <sz val="10"/>
        <rFont val="Noto Sans CJK SC"/>
        <family val="2"/>
      </rPr>
      <t xml:space="preserve">張）</t>
    </r>
  </si>
  <si>
    <t xml:space="preserve">其中可排程卡數</t>
  </si>
  <si>
    <t xml:space="preserve">現場跑通卡數</t>
  </si>
  <si>
    <r>
      <rPr>
        <b val="true"/>
        <sz val="10"/>
        <rFont val="Noto Sans CJK SC"/>
        <family val="2"/>
      </rPr>
      <t xml:space="preserve">需先取得文件的卡（全庫 </t>
    </r>
    <r>
      <rPr>
        <b val="true"/>
        <sz val="10"/>
        <rFont val="Arial"/>
        <family val="0"/>
        <charset val="1"/>
      </rPr>
      <t xml:space="preserve">7 </t>
    </r>
    <r>
      <rPr>
        <b val="true"/>
        <sz val="10"/>
        <rFont val="Noto Sans CJK SC"/>
        <family val="2"/>
      </rPr>
      <t xml:space="preserve">張）中已佈署</t>
    </r>
  </si>
  <si>
    <t xml:space="preserve">層級比例（設計值）</t>
  </si>
  <si>
    <t xml:space="preserve">張數</t>
  </si>
  <si>
    <t xml:space="preserve">撐什麼</t>
  </si>
  <si>
    <t xml:space="preserve">交付時的角色</t>
  </si>
  <si>
    <r>
      <rPr>
        <sz val="10"/>
        <rFont val="Arial"/>
        <family val="0"/>
        <charset val="1"/>
      </rPr>
      <t xml:space="preserve">L1 </t>
    </r>
    <r>
      <rPr>
        <sz val="10"/>
        <rFont val="Noto Sans CJK SC"/>
        <family val="2"/>
      </rPr>
      <t xml:space="preserve">全員通用 </t>
    </r>
    <r>
      <rPr>
        <sz val="10"/>
        <rFont val="Arial"/>
        <family val="0"/>
        <charset val="1"/>
      </rPr>
      <t xml:space="preserve">OA</t>
    </r>
  </si>
  <si>
    <t xml:space="preserve">15</t>
  </si>
  <si>
    <t xml:space="preserve">日活躍與用量</t>
  </si>
  <si>
    <t xml:space="preserve">每個人都要選，是用量主體</t>
  </si>
  <si>
    <r>
      <rPr>
        <sz val="10"/>
        <rFont val="Arial"/>
        <family val="0"/>
        <charset val="1"/>
      </rPr>
      <t xml:space="preserve">L2-MIS </t>
    </r>
    <r>
      <rPr>
        <sz val="10"/>
        <rFont val="Noto Sans CJK SC"/>
        <family val="2"/>
      </rPr>
      <t xml:space="preserve">製造業 </t>
    </r>
    <r>
      <rPr>
        <sz val="10"/>
        <rFont val="Arial"/>
        <family val="0"/>
        <charset val="1"/>
      </rPr>
      <t xml:space="preserve">IT</t>
    </r>
    <r>
      <rPr>
        <sz val="10"/>
        <rFont val="Noto Sans CJK SC"/>
        <family val="2"/>
      </rPr>
      <t xml:space="preserve">／</t>
    </r>
    <r>
      <rPr>
        <sz val="10"/>
        <rFont val="Arial"/>
        <family val="0"/>
        <charset val="1"/>
      </rPr>
      <t xml:space="preserve">MIS</t>
    </r>
  </si>
  <si>
    <t xml:space="preserve">6</t>
  </si>
  <si>
    <t xml:space="preserve">窗口本人的動機</t>
  </si>
  <si>
    <r>
      <rPr>
        <sz val="10"/>
        <rFont val="Noto Sans CJK SC"/>
        <family val="2"/>
      </rPr>
      <t xml:space="preserve">製造業客戶的預設職能包，第一張就講 </t>
    </r>
    <r>
      <rPr>
        <sz val="10"/>
        <rFont val="Arial"/>
        <family val="0"/>
        <charset val="1"/>
      </rPr>
      <t xml:space="preserve">ERP </t>
    </r>
    <r>
      <rPr>
        <sz val="10"/>
        <rFont val="Noto Sans CJK SC"/>
        <family val="2"/>
      </rPr>
      <t xml:space="preserve">問答</t>
    </r>
  </si>
  <si>
    <r>
      <rPr>
        <sz val="10"/>
        <rFont val="Arial"/>
        <family val="0"/>
        <charset val="1"/>
      </rPr>
      <t xml:space="preserve">L2-SEC </t>
    </r>
    <r>
      <rPr>
        <sz val="10"/>
        <rFont val="Noto Sans CJK SC"/>
        <family val="2"/>
      </rPr>
      <t xml:space="preserve">資安專責</t>
    </r>
  </si>
  <si>
    <t xml:space="preserve">續約論述</t>
  </si>
  <si>
    <t xml:space="preserve">只在客戶有資安專責人員時才排</t>
  </si>
  <si>
    <r>
      <rPr>
        <sz val="10"/>
        <rFont val="Arial"/>
        <family val="0"/>
        <charset val="1"/>
      </rPr>
      <t xml:space="preserve">L2-HR</t>
    </r>
    <r>
      <rPr>
        <sz val="10"/>
        <rFont val="Noto Sans CJK SC"/>
        <family val="2"/>
      </rPr>
      <t xml:space="preserve">／</t>
    </r>
    <r>
      <rPr>
        <sz val="10"/>
        <rFont val="Arial"/>
        <family val="0"/>
        <charset val="1"/>
      </rPr>
      <t xml:space="preserve">SAL</t>
    </r>
    <r>
      <rPr>
        <sz val="10"/>
        <rFont val="Noto Sans CJK SC"/>
        <family val="2"/>
      </rPr>
      <t xml:space="preserve">／</t>
    </r>
    <r>
      <rPr>
        <sz val="10"/>
        <rFont val="Arial"/>
        <family val="0"/>
        <charset val="1"/>
      </rPr>
      <t xml:space="preserve">FIN</t>
    </r>
    <r>
      <rPr>
        <sz val="10"/>
        <rFont val="Noto Sans CJK SC"/>
        <family val="2"/>
      </rPr>
      <t xml:space="preserve">／</t>
    </r>
    <r>
      <rPr>
        <sz val="10"/>
        <rFont val="Arial"/>
        <family val="0"/>
        <charset val="1"/>
      </rPr>
      <t xml:space="preserve">MFG</t>
    </r>
  </si>
  <si>
    <t xml:space="preserve">14</t>
  </si>
  <si>
    <t xml:space="preserve">部門深度</t>
  </si>
  <si>
    <r>
      <rPr>
        <sz val="10"/>
        <rFont val="Noto Sans CJK SC"/>
        <family val="2"/>
      </rPr>
      <t xml:space="preserve">依客戶到場部門選 </t>
    </r>
    <r>
      <rPr>
        <sz val="10"/>
        <rFont val="Arial"/>
        <family val="0"/>
        <charset val="1"/>
      </rPr>
      <t xml:space="preserve">1-2 </t>
    </r>
    <r>
      <rPr>
        <sz val="10"/>
        <rFont val="Noto Sans CJK SC"/>
        <family val="2"/>
      </rPr>
      <t xml:space="preserve">包</t>
    </r>
  </si>
  <si>
    <t xml:space="preserve">合計</t>
  </si>
  <si>
    <t xml:space="preserve">41</t>
  </si>
  <si>
    <r>
      <rPr>
        <b val="true"/>
        <sz val="10"/>
        <color rgb="FF1F3864"/>
        <rFont val="Noto Sans CJK SC"/>
        <family val="2"/>
      </rPr>
      <t xml:space="preserve">交付規則：每人 ≥</t>
    </r>
    <r>
      <rPr>
        <b val="true"/>
        <sz val="10"/>
        <color rgb="FF1F3864"/>
        <rFont val="Arial"/>
        <family val="0"/>
        <charset val="1"/>
      </rPr>
      <t xml:space="preserve">2 </t>
    </r>
    <r>
      <rPr>
        <b val="true"/>
        <sz val="10"/>
        <color rgb="FF1F3864"/>
        <rFont val="Noto Sans CJK SC"/>
        <family val="2"/>
      </rPr>
      <t xml:space="preserve">個排程、其中 ≥</t>
    </r>
    <r>
      <rPr>
        <b val="true"/>
        <sz val="10"/>
        <color rgb="FF1F3864"/>
        <rFont val="Arial"/>
        <family val="0"/>
        <charset val="1"/>
      </rPr>
      <t xml:space="preserve">1 </t>
    </r>
    <r>
      <rPr>
        <b val="true"/>
        <sz val="10"/>
        <color rgb="FF1F3864"/>
        <rFont val="Noto Sans CJK SC"/>
        <family val="2"/>
      </rPr>
      <t xml:space="preserve">個每日。</t>
    </r>
    <r>
      <rPr>
        <b val="true"/>
        <sz val="10"/>
        <color rgb="FF1F3864"/>
        <rFont val="Arial"/>
        <family val="0"/>
        <charset val="1"/>
      </rPr>
      <t xml:space="preserve">MIS </t>
    </r>
    <r>
      <rPr>
        <b val="true"/>
        <sz val="10"/>
        <color rgb="FF1F3864"/>
        <rFont val="Noto Sans CJK SC"/>
        <family val="2"/>
      </rPr>
      <t xml:space="preserve">的每日排程用 </t>
    </r>
    <r>
      <rPr>
        <b val="true"/>
        <sz val="10"/>
        <color rgb="FF1F3864"/>
        <rFont val="Arial"/>
        <family val="0"/>
        <charset val="1"/>
      </rPr>
      <t xml:space="preserve">L2-MIS-06 </t>
    </r>
    <r>
      <rPr>
        <b val="true"/>
        <sz val="10"/>
        <color rgb="FF1F3864"/>
        <rFont val="Noto Sans CJK SC"/>
        <family val="2"/>
      </rPr>
      <t xml:space="preserve">系統健檢，不要用 </t>
    </r>
    <r>
      <rPr>
        <b val="true"/>
        <sz val="10"/>
        <color rgb="FF1F3864"/>
        <rFont val="Arial"/>
        <family val="0"/>
        <charset val="1"/>
      </rPr>
      <t xml:space="preserve">L1-01 </t>
    </r>
    <r>
      <rPr>
        <b val="true"/>
        <sz val="10"/>
        <color rgb="FF1F3864"/>
        <rFont val="Noto Sans CJK SC"/>
        <family val="2"/>
      </rPr>
      <t xml:space="preserve">信件摘要——</t>
    </r>
    <r>
      <rPr>
        <b val="true"/>
        <sz val="10"/>
        <color rgb="FF1F3864"/>
        <rFont val="Arial"/>
        <family val="0"/>
        <charset val="1"/>
      </rPr>
      <t xml:space="preserve">IT </t>
    </r>
    <r>
      <rPr>
        <b val="true"/>
        <sz val="10"/>
        <color rgb="FF1F3864"/>
        <rFont val="Noto Sans CJK SC"/>
        <family val="2"/>
      </rPr>
      <t xml:space="preserve">信不多，重要的事同事會直接打電話。</t>
    </r>
  </si>
  <si>
    <r>
      <rPr>
        <sz val="10"/>
        <color rgb="FF808080"/>
        <rFont val="Noto Sans CJK SC"/>
        <family val="2"/>
      </rPr>
      <t xml:space="preserve">『需先取得文件』標 </t>
    </r>
    <r>
      <rPr>
        <sz val="10"/>
        <color rgb="FF808080"/>
        <rFont val="Arial"/>
        <family val="0"/>
        <charset val="1"/>
      </rPr>
      <t xml:space="preserve">1 </t>
    </r>
    <r>
      <rPr>
        <sz val="10"/>
        <color rgb="FF808080"/>
        <rFont val="Noto Sans CJK SC"/>
        <family val="2"/>
      </rPr>
      <t xml:space="preserve">的 </t>
    </r>
    <r>
      <rPr>
        <sz val="10"/>
        <color rgb="FF808080"/>
        <rFont val="Arial"/>
        <family val="0"/>
        <charset val="1"/>
      </rPr>
      <t xml:space="preserve">7 </t>
    </r>
    <r>
      <rPr>
        <sz val="10"/>
        <color rgb="FF808080"/>
        <rFont val="Noto Sans CJK SC"/>
        <family val="2"/>
      </rPr>
      <t xml:space="preserve">張卡拿不到時的替代做法，見《</t>
    </r>
    <r>
      <rPr>
        <sz val="10"/>
        <color rgb="FF808080"/>
        <rFont val="Arial"/>
        <family val="0"/>
        <charset val="1"/>
      </rPr>
      <t xml:space="preserve">AgentSpace</t>
    </r>
    <r>
      <rPr>
        <sz val="10"/>
        <color rgb="FF808080"/>
        <rFont val="Noto Sans CJK SC"/>
        <family val="2"/>
      </rPr>
      <t xml:space="preserve">場景庫》總表讀法③；</t>
    </r>
    <r>
      <rPr>
        <sz val="10"/>
        <color rgb="FF808080"/>
        <rFont val="Arial"/>
        <family val="0"/>
        <charset val="1"/>
      </rPr>
      <t xml:space="preserve">ERP </t>
    </r>
    <r>
      <rPr>
        <sz val="10"/>
        <color rgb="FF808080"/>
        <rFont val="Noto Sans CJK SC"/>
        <family val="2"/>
      </rPr>
      <t xml:space="preserve">客製說明改向內部 </t>
    </r>
    <r>
      <rPr>
        <sz val="10"/>
        <color rgb="FF808080"/>
        <rFont val="Arial"/>
        <family val="0"/>
        <charset val="1"/>
      </rPr>
      <t xml:space="preserve">ERP </t>
    </r>
    <r>
      <rPr>
        <sz val="10"/>
        <color rgb="FF808080"/>
        <rFont val="Noto Sans CJK SC"/>
        <family val="2"/>
      </rPr>
      <t xml:space="preserve">顧問取得，不向客戶索取。</t>
    </r>
  </si>
  <si>
    <r>
      <rPr>
        <b val="true"/>
        <sz val="13"/>
        <color rgb="FF1F3864"/>
        <rFont val="Arial"/>
        <family val="0"/>
        <charset val="1"/>
      </rPr>
      <t xml:space="preserve">H </t>
    </r>
    <r>
      <rPr>
        <b val="true"/>
        <sz val="13"/>
        <color rgb="FF1F3864"/>
        <rFont val="Noto Sans CJK SC"/>
        <family val="2"/>
      </rPr>
      <t xml:space="preserve">段逐人檢核表（</t>
    </r>
    <r>
      <rPr>
        <b val="true"/>
        <sz val="13"/>
        <color rgb="FF1F3864"/>
        <rFont val="Arial"/>
        <family val="0"/>
        <charset val="1"/>
      </rPr>
      <t xml:space="preserve">v1.1</t>
    </r>
    <r>
      <rPr>
        <b val="true"/>
        <sz val="13"/>
        <color rgb="FF1F3864"/>
        <rFont val="Noto Sans CJK SC"/>
        <family val="2"/>
      </rPr>
      <t xml:space="preserve">：核心／擴散分層；未過＝我方免費補訓，不寫成交付未完成）</t>
    </r>
  </si>
  <si>
    <r>
      <rPr>
        <i val="true"/>
        <sz val="9"/>
        <color rgb="FF808080"/>
        <rFont val="Noto Sans CJK SC"/>
        <family val="2"/>
      </rPr>
      <t xml:space="preserve">黃色底為現場填寫。核心組須通過 </t>
    </r>
    <r>
      <rPr>
        <i val="true"/>
        <sz val="9"/>
        <color rgb="FF808080"/>
        <rFont val="Arial"/>
        <family val="0"/>
        <charset val="1"/>
      </rPr>
      <t xml:space="preserve">6 </t>
    </r>
    <r>
      <rPr>
        <i val="true"/>
        <sz val="9"/>
        <color rgb="FF808080"/>
        <rFont val="Noto Sans CJK SC"/>
        <family val="2"/>
      </rPr>
      <t xml:space="preserve">項；擴散組只需「</t>
    </r>
    <r>
      <rPr>
        <i val="true"/>
        <sz val="9"/>
        <color rgb="FF808080"/>
        <rFont val="Arial"/>
        <family val="0"/>
        <charset val="1"/>
      </rPr>
      <t xml:space="preserve">1 </t>
    </r>
    <r>
      <rPr>
        <i val="true"/>
        <sz val="9"/>
        <color rgb="FF808080"/>
        <rFont val="Noto Sans CJK SC"/>
        <family val="2"/>
      </rPr>
      <t xml:space="preserve">張卡跑通」。💡 對客戶：這是確認每個人真的帶得走，不是考試；沒過的我方免費線上補訓一次，與尾款無關。</t>
    </r>
  </si>
  <si>
    <t xml:space="preserve">#</t>
  </si>
  <si>
    <t xml:space="preserve">姓名</t>
  </si>
  <si>
    <t xml:space="preserve">部門</t>
  </si>
  <si>
    <r>
      <rPr>
        <b val="true"/>
        <sz val="10"/>
        <color rgb="FFFFFFFF"/>
        <rFont val="Noto Sans CJK SC"/>
        <family val="2"/>
      </rPr>
      <t xml:space="preserve">分層</t>
    </r>
    <r>
      <rPr>
        <b val="true"/>
        <sz val="10"/>
        <color rgb="FFFFFFFF"/>
        <rFont val="Arial"/>
        <family val="0"/>
        <charset val="1"/>
      </rPr>
      <t xml:space="preserve">(</t>
    </r>
    <r>
      <rPr>
        <b val="true"/>
        <sz val="10"/>
        <color rgb="FFFFFFFF"/>
        <rFont val="Noto Sans CJK SC"/>
        <family val="2"/>
      </rPr>
      <t xml:space="preserve">核心</t>
    </r>
    <r>
      <rPr>
        <b val="true"/>
        <sz val="10"/>
        <color rgb="FFFFFFFF"/>
        <rFont val="Arial"/>
        <family val="0"/>
        <charset val="1"/>
      </rPr>
      <t xml:space="preserve">/</t>
    </r>
    <r>
      <rPr>
        <b val="true"/>
        <sz val="10"/>
        <color rgb="FFFFFFFF"/>
        <rFont val="Noto Sans CJK SC"/>
        <family val="2"/>
      </rPr>
      <t xml:space="preserve">擴散</t>
    </r>
    <r>
      <rPr>
        <b val="true"/>
        <sz val="10"/>
        <color rgb="FFFFFFFF"/>
        <rFont val="Arial"/>
        <family val="0"/>
        <charset val="1"/>
      </rPr>
      <t xml:space="preserve">)</t>
    </r>
  </si>
  <si>
    <t xml:space="preserve">①選用卡跑通</t>
  </si>
  <si>
    <t xml:space="preserve">②自建卡已跑通</t>
  </si>
  <si>
    <t xml:space="preserve">③排程數</t>
  </si>
  <si>
    <t xml:space="preserve">④每日排程</t>
  </si>
  <si>
    <r>
      <rPr>
        <b val="true"/>
        <sz val="10"/>
        <color rgb="FFFFFFFF"/>
        <rFont val="Noto Sans CJK SC"/>
        <family val="2"/>
      </rPr>
      <t xml:space="preserve">⑤個人記憶</t>
    </r>
    <r>
      <rPr>
        <b val="true"/>
        <sz val="10"/>
        <color rgb="FFFFFFFF"/>
        <rFont val="Arial"/>
        <family val="0"/>
        <charset val="1"/>
      </rPr>
      <t xml:space="preserve">(1/0)</t>
    </r>
  </si>
  <si>
    <r>
      <rPr>
        <b val="true"/>
        <sz val="10"/>
        <color rgb="FFFFFFFF"/>
        <rFont val="Noto Sans CJK SC"/>
        <family val="2"/>
      </rPr>
      <t xml:space="preserve">⑥點數已揭露且會關</t>
    </r>
    <r>
      <rPr>
        <b val="true"/>
        <sz val="10"/>
        <color rgb="FFFFFFFF"/>
        <rFont val="Arial"/>
        <family val="0"/>
        <charset val="1"/>
      </rPr>
      <t xml:space="preserve">(1/0)</t>
    </r>
  </si>
  <si>
    <r>
      <rPr>
        <b val="true"/>
        <sz val="10"/>
        <color rgb="FFFFFFFF"/>
        <rFont val="Noto Sans CJK SC"/>
        <family val="2"/>
      </rPr>
      <t xml:space="preserve">通過</t>
    </r>
    <r>
      <rPr>
        <b val="true"/>
        <sz val="10"/>
        <color rgb="FFFFFFFF"/>
        <rFont val="Arial"/>
        <family val="0"/>
        <charset val="1"/>
      </rPr>
      <t xml:space="preserve">(1/0)</t>
    </r>
  </si>
  <si>
    <t xml:space="preserve">未過的補訓安排</t>
  </si>
  <si>
    <t xml:space="preserve">（範例）陳課長</t>
  </si>
  <si>
    <t xml:space="preserve">資訊課</t>
  </si>
  <si>
    <t xml:space="preserve">核心</t>
  </si>
  <si>
    <t xml:space="preserve">交付人數（不含範例列）</t>
  </si>
  <si>
    <t xml:space="preserve">核心人數</t>
  </si>
  <si>
    <t xml:space="preserve">核心通過人數</t>
  </si>
  <si>
    <t xml:space="preserve">擴散通過率</t>
  </si>
  <si>
    <t xml:space="preserve">交付成立（核心全過）</t>
  </si>
  <si>
    <t xml:space="preserve">另需確認（交付成立要件）：《環境交付規格書》已簽認 □　《資料落地與管制說明》已簽認 □　故障聯絡窗口與回應時間已載明 □</t>
  </si>
  <si>
    <r>
      <rPr>
        <b val="true"/>
        <sz val="13"/>
        <color rgb="FF1F3864"/>
        <rFont val="Noto Sans CJK SC"/>
        <family val="2"/>
      </rPr>
      <t xml:space="preserve">離場後追蹤指標（</t>
    </r>
    <r>
      <rPr>
        <b val="true"/>
        <sz val="13"/>
        <color rgb="FF1F3864"/>
        <rFont val="Arial"/>
        <family val="0"/>
        <charset val="1"/>
      </rPr>
      <t xml:space="preserve">D+7 / D+14 / D+30</t>
    </r>
    <r>
      <rPr>
        <b val="true"/>
        <sz val="13"/>
        <color rgb="FF1F3864"/>
        <rFont val="Noto Sans CJK SC"/>
        <family val="2"/>
      </rPr>
      <t xml:space="preserve">）</t>
    </r>
    <r>
      <rPr>
        <b val="true"/>
        <sz val="13"/>
        <color rgb="FF1F3864"/>
        <rFont val="Arial"/>
        <family val="0"/>
        <charset val="1"/>
      </rPr>
      <t xml:space="preserve">v1.1</t>
    </r>
  </si>
  <si>
    <t xml:space="preserve">本表為鼎新內部指標。對客戶說明時一律改用『對客語言』欄，不得表述為客戶不配合。</t>
  </si>
  <si>
    <t xml:space="preserve">時點</t>
  </si>
  <si>
    <t xml:space="preserve">指標</t>
  </si>
  <si>
    <t xml:space="preserve">實測值</t>
  </si>
  <si>
    <t xml:space="preserve">資料來源</t>
  </si>
  <si>
    <t xml:space="preserve">未達標的動作（我方責任）</t>
  </si>
  <si>
    <t xml:space="preserve">對客語言</t>
  </si>
  <si>
    <t xml:space="preserve">D+7</t>
  </si>
  <si>
    <r>
      <rPr>
        <sz val="10"/>
        <rFont val="Noto Sans CJK SC"/>
        <family val="2"/>
      </rPr>
      <t xml:space="preserve">週活躍人數 </t>
    </r>
    <r>
      <rPr>
        <sz val="10"/>
        <rFont val="Arial"/>
        <family val="0"/>
        <charset val="1"/>
      </rPr>
      <t xml:space="preserve">÷ </t>
    </r>
    <r>
      <rPr>
        <sz val="10"/>
        <rFont val="Noto Sans CJK SC"/>
        <family val="2"/>
      </rPr>
      <t xml:space="preserve">交付人數</t>
    </r>
  </si>
  <si>
    <t xml:space="preserve">≥70%</t>
  </si>
  <si>
    <r>
      <rPr>
        <sz val="10"/>
        <rFont val="Noto Sans CJK SC"/>
        <family val="2"/>
      </rPr>
      <t xml:space="preserve">平台後台</t>
    </r>
    <r>
      <rPr>
        <sz val="10"/>
        <rFont val="Arial"/>
        <family val="0"/>
        <charset val="1"/>
      </rPr>
      <t xml:space="preserve">-</t>
    </r>
    <r>
      <rPr>
        <sz val="10"/>
        <rFont val="Noto Sans CJK SC"/>
        <family val="2"/>
      </rPr>
      <t xml:space="preserve">活躍使用者</t>
    </r>
  </si>
  <si>
    <r>
      <rPr>
        <sz val="10"/>
        <rFont val="Noto Sans CJK SC"/>
        <family val="2"/>
      </rPr>
      <t xml:space="preserve">顧問 </t>
    </r>
    <r>
      <rPr>
        <sz val="10"/>
        <rFont val="Arial"/>
        <family val="0"/>
        <charset val="1"/>
      </rPr>
      <t xml:space="preserve">15 </t>
    </r>
    <r>
      <rPr>
        <sz val="10"/>
        <rFont val="Noto Sans CJK SC"/>
        <family val="2"/>
      </rPr>
      <t xml:space="preserve">分鐘線上一對一，補跑 </t>
    </r>
    <r>
      <rPr>
        <sz val="10"/>
        <rFont val="Arial"/>
        <family val="0"/>
        <charset val="1"/>
      </rPr>
      <t xml:space="preserve">1 </t>
    </r>
    <r>
      <rPr>
        <sz val="10"/>
        <rFont val="Noto Sans CJK SC"/>
        <family val="2"/>
      </rPr>
      <t xml:space="preserve">張卡</t>
    </r>
  </si>
  <si>
    <t xml:space="preserve">「看看哪些同仁還沒用上，一起看卡在哪」</t>
  </si>
  <si>
    <t xml:space="preserve">人均週對話次數</t>
  </si>
  <si>
    <r>
      <rPr>
        <sz val="10"/>
        <rFont val="Arial"/>
        <family val="0"/>
        <charset val="1"/>
      </rPr>
      <t xml:space="preserve">≥10 </t>
    </r>
    <r>
      <rPr>
        <sz val="10"/>
        <rFont val="Noto Sans CJK SC"/>
        <family val="2"/>
      </rPr>
      <t xml:space="preserve">次</t>
    </r>
  </si>
  <si>
    <r>
      <rPr>
        <sz val="10"/>
        <rFont val="Noto Sans CJK SC"/>
        <family val="2"/>
      </rPr>
      <t xml:space="preserve">後台</t>
    </r>
    <r>
      <rPr>
        <sz val="10"/>
        <rFont val="Arial"/>
        <family val="0"/>
        <charset val="1"/>
      </rPr>
      <t xml:space="preserve">-</t>
    </r>
    <r>
      <rPr>
        <sz val="10"/>
        <rFont val="Noto Sans CJK SC"/>
        <family val="2"/>
      </rPr>
      <t xml:space="preserve">對話統計（待確認可撈）</t>
    </r>
  </si>
  <si>
    <t xml:space="preserve">檢查排程是否失敗；換一張更貼近其工作的卡</t>
  </si>
  <si>
    <r>
      <rPr>
        <sz val="10"/>
        <rFont val="Noto Sans CJK SC"/>
        <family val="2"/>
      </rPr>
      <t xml:space="preserve">「這個月大概幫你們省下 </t>
    </r>
    <r>
      <rPr>
        <sz val="10"/>
        <rFont val="Arial"/>
        <family val="0"/>
        <charset val="1"/>
      </rPr>
      <t xml:space="preserve">__ </t>
    </r>
    <r>
      <rPr>
        <sz val="10"/>
        <rFont val="Noto Sans CJK SC"/>
        <family val="2"/>
      </rPr>
      <t xml:space="preserve">小時」</t>
    </r>
  </si>
  <si>
    <t xml:space="preserve">排程成功執行率</t>
  </si>
  <si>
    <t xml:space="preserve">≥90%</t>
  </si>
  <si>
    <t xml:space="preserve">定期任務執行紀錄（待確認可撈）</t>
  </si>
  <si>
    <t xml:space="preserve">技術排查，多為權限或連線問題</t>
  </si>
  <si>
    <t xml:space="preserve">「幫你確認自動的部分有沒有正常跑」</t>
  </si>
  <si>
    <t xml:space="preserve">排程點數回饋信已寄出</t>
  </si>
  <si>
    <r>
      <rPr>
        <sz val="10"/>
        <rFont val="Noto Sans CJK SC"/>
        <family val="2"/>
      </rPr>
      <t xml:space="preserve">補寄；此為 </t>
    </r>
    <r>
      <rPr>
        <sz val="10"/>
        <rFont val="Arial"/>
        <family val="0"/>
        <charset val="1"/>
      </rPr>
      <t xml:space="preserve">P5 </t>
    </r>
    <r>
      <rPr>
        <sz val="10"/>
        <rFont val="Noto Sans CJK SC"/>
        <family val="2"/>
      </rPr>
      <t xml:space="preserve">硬性動作，不可略過</t>
    </r>
  </si>
  <si>
    <r>
      <rPr>
        <sz val="10"/>
        <rFont val="Noto Sans CJK SC"/>
        <family val="2"/>
      </rPr>
      <t xml:space="preserve">「這個排程本週花了 </t>
    </r>
    <r>
      <rPr>
        <sz val="10"/>
        <rFont val="Arial"/>
        <family val="0"/>
        <charset val="1"/>
      </rPr>
      <t xml:space="preserve">X </t>
    </r>
    <r>
      <rPr>
        <sz val="10"/>
        <rFont val="Noto Sans CJK SC"/>
        <family val="2"/>
      </rPr>
      <t xml:space="preserve">點、你開了 </t>
    </r>
    <r>
      <rPr>
        <sz val="10"/>
        <rFont val="Arial"/>
        <family val="0"/>
        <charset val="1"/>
      </rPr>
      <t xml:space="preserve">Y </t>
    </r>
    <r>
      <rPr>
        <sz val="10"/>
        <rFont val="Noto Sans CJK SC"/>
        <family val="2"/>
      </rPr>
      <t xml:space="preserve">次」</t>
    </r>
  </si>
  <si>
    <t xml:space="preserve">排程產出開啟率</t>
  </si>
  <si>
    <t xml:space="preserve">≥50%</t>
  </si>
  <si>
    <r>
      <rPr>
        <sz val="10"/>
        <rFont val="Noto Sans CJK SC"/>
        <family val="2"/>
      </rPr>
      <t xml:space="preserve">郵件</t>
    </r>
    <r>
      <rPr>
        <sz val="10"/>
        <rFont val="Arial"/>
        <family val="0"/>
        <charset val="1"/>
      </rPr>
      <t xml:space="preserve">/</t>
    </r>
    <r>
      <rPr>
        <sz val="10"/>
        <rFont val="Noto Sans CJK SC"/>
        <family val="2"/>
      </rPr>
      <t xml:space="preserve">待辦開啟紀錄（待確認可撈）</t>
    </r>
  </si>
  <si>
    <r>
      <rPr>
        <sz val="10"/>
        <rFont val="Noto Sans CJK SC"/>
        <family val="2"/>
      </rPr>
      <t xml:space="preserve">低於 </t>
    </r>
    <r>
      <rPr>
        <sz val="10"/>
        <rFont val="Arial"/>
        <family val="0"/>
        <charset val="1"/>
      </rPr>
      <t xml:space="preserve">50% </t>
    </r>
    <r>
      <rPr>
        <sz val="10"/>
        <rFont val="Noto Sans CJK SC"/>
        <family val="2"/>
      </rPr>
      <t xml:space="preserve">主動建議降頻或換內容</t>
    </r>
  </si>
  <si>
    <t xml:space="preserve">「沒在看的就幫你關掉，不要浪費點數」</t>
  </si>
  <si>
    <t xml:space="preserve">D+14</t>
  </si>
  <si>
    <t xml:space="preserve">自建場景卡累計</t>
  </si>
  <si>
    <r>
      <rPr>
        <sz val="10"/>
        <rFont val="Noto Sans CJK SC"/>
        <family val="2"/>
      </rPr>
      <t xml:space="preserve">≥核心人數</t>
    </r>
    <r>
      <rPr>
        <sz val="10"/>
        <rFont val="Arial"/>
        <family val="0"/>
        <charset val="1"/>
      </rPr>
      <t xml:space="preserve">×1</t>
    </r>
  </si>
  <si>
    <t xml:space="preserve">客戶租戶技能清單</t>
  </si>
  <si>
    <r>
      <rPr>
        <sz val="10"/>
        <rFont val="Noto Sans CJK SC"/>
        <family val="2"/>
      </rPr>
      <t xml:space="preserve">線上場景精靈工作坊 </t>
    </r>
    <r>
      <rPr>
        <sz val="10"/>
        <rFont val="Arial"/>
        <family val="0"/>
        <charset val="1"/>
      </rPr>
      <t xml:space="preserve">30 </t>
    </r>
    <r>
      <rPr>
        <sz val="10"/>
        <rFont val="Noto Sans CJK SC"/>
        <family val="2"/>
      </rPr>
      <t xml:space="preserve">分鐘</t>
    </r>
  </si>
  <si>
    <t xml:space="preserve">「你們自己做的用法有幾個」</t>
  </si>
  <si>
    <r>
      <rPr>
        <sz val="10"/>
        <rFont val="Noto Sans CJK SC"/>
        <family val="2"/>
      </rPr>
      <t xml:space="preserve">週用量 </t>
    </r>
    <r>
      <rPr>
        <sz val="10"/>
        <rFont val="Arial"/>
        <family val="0"/>
        <charset val="1"/>
      </rPr>
      <t xml:space="preserve">vs </t>
    </r>
    <r>
      <rPr>
        <sz val="10"/>
        <rFont val="Noto Sans CJK SC"/>
        <family val="2"/>
      </rPr>
      <t xml:space="preserve">首週</t>
    </r>
  </si>
  <si>
    <r>
      <rPr>
        <sz val="10"/>
        <rFont val="Arial"/>
        <family val="0"/>
        <charset val="1"/>
      </rPr>
      <t xml:space="preserve">≥100%</t>
    </r>
    <r>
      <rPr>
        <sz val="10"/>
        <rFont val="Noto Sans CJK SC"/>
        <family val="2"/>
      </rPr>
      <t xml:space="preserve">（不衰退）</t>
    </r>
  </si>
  <si>
    <t xml:space="preserve">用量統計表</t>
  </si>
  <si>
    <t xml:space="preserve">觸發「新場景上架」推播</t>
  </si>
  <si>
    <t xml:space="preserve">「有幾個新用法要不要試」</t>
  </si>
  <si>
    <r>
      <rPr>
        <sz val="10"/>
        <rFont val="Noto Sans CJK SC"/>
        <family val="2"/>
      </rPr>
      <t xml:space="preserve">主管週會 </t>
    </r>
    <r>
      <rPr>
        <sz val="10"/>
        <rFont val="Arial"/>
        <family val="0"/>
        <charset val="1"/>
      </rPr>
      <t xml:space="preserve">demo </t>
    </r>
    <r>
      <rPr>
        <sz val="10"/>
        <rFont val="Noto Sans CJK SC"/>
        <family val="2"/>
      </rPr>
      <t xml:space="preserve">機制是否運作</t>
    </r>
  </si>
  <si>
    <r>
      <rPr>
        <sz val="10"/>
        <rFont val="Noto Sans CJK SC"/>
        <family val="2"/>
      </rPr>
      <t xml:space="preserve">至少跑過 </t>
    </r>
    <r>
      <rPr>
        <sz val="10"/>
        <rFont val="Arial"/>
        <family val="0"/>
        <charset val="1"/>
      </rPr>
      <t xml:space="preserve">1 </t>
    </r>
    <r>
      <rPr>
        <sz val="10"/>
        <rFont val="Noto Sans CJK SC"/>
        <family val="2"/>
      </rPr>
      <t xml:space="preserve">次</t>
    </r>
  </si>
  <si>
    <t xml:space="preserve">向主管確認（非窗口）</t>
  </si>
  <si>
    <r>
      <rPr>
        <sz val="10"/>
        <rFont val="Noto Sans CJK SC"/>
        <family val="2"/>
      </rPr>
      <t xml:space="preserve">協助設計第一次 </t>
    </r>
    <r>
      <rPr>
        <sz val="10"/>
        <rFont val="Arial"/>
        <family val="0"/>
        <charset val="1"/>
      </rPr>
      <t xml:space="preserve">demo</t>
    </r>
  </si>
  <si>
    <r>
      <rPr>
        <sz val="10"/>
        <rFont val="Noto Sans CJK SC"/>
        <family val="2"/>
      </rPr>
      <t xml:space="preserve">「週會那 </t>
    </r>
    <r>
      <rPr>
        <sz val="10"/>
        <rFont val="Arial"/>
        <family val="0"/>
        <charset val="1"/>
      </rPr>
      <t xml:space="preserve">5 </t>
    </r>
    <r>
      <rPr>
        <sz val="10"/>
        <rFont val="Noto Sans CJK SC"/>
        <family val="2"/>
      </rPr>
      <t xml:space="preserve">分鐘有跑起來嗎，我們可以幫忙備料」</t>
    </r>
  </si>
  <si>
    <t xml:space="preserve">D+30</t>
  </si>
  <si>
    <r>
      <rPr>
        <sz val="10"/>
        <rFont val="Noto Sans CJK SC"/>
        <family val="2"/>
      </rPr>
      <t xml:space="preserve">月活躍人數 </t>
    </r>
    <r>
      <rPr>
        <sz val="10"/>
        <rFont val="Arial"/>
        <family val="0"/>
        <charset val="1"/>
      </rPr>
      <t xml:space="preserve">÷ </t>
    </r>
    <r>
      <rPr>
        <sz val="10"/>
        <rFont val="Noto Sans CJK SC"/>
        <family val="2"/>
      </rPr>
      <t xml:space="preserve">交付人數</t>
    </r>
  </si>
  <si>
    <t xml:space="preserve">列入客戶健康度紅燈，業務介入</t>
  </si>
  <si>
    <t xml:space="preserve">「哪些部門還沒動起來，我們可以支援」</t>
  </si>
  <si>
    <r>
      <rPr>
        <sz val="10"/>
        <rFont val="Noto Sans CJK SC"/>
        <family val="2"/>
      </rPr>
      <t xml:space="preserve">月用量 </t>
    </r>
    <r>
      <rPr>
        <sz val="10"/>
        <rFont val="Arial"/>
        <family val="0"/>
        <charset val="1"/>
      </rPr>
      <t xml:space="preserve">÷ </t>
    </r>
    <r>
      <rPr>
        <sz val="10"/>
        <rFont val="Noto Sans CJK SC"/>
        <family val="2"/>
      </rPr>
      <t xml:space="preserve">訂閱點數</t>
    </r>
  </si>
  <si>
    <r>
      <rPr>
        <sz val="10"/>
        <rFont val="Noto Sans CJK SC"/>
        <family val="2"/>
      </rPr>
      <t xml:space="preserve">待訂（待確認 </t>
    </r>
    <r>
      <rPr>
        <sz val="10"/>
        <rFont val="Arial"/>
        <family val="0"/>
        <charset val="1"/>
      </rPr>
      <t xml:space="preserve">#2</t>
    </r>
    <r>
      <rPr>
        <sz val="10"/>
        <rFont val="Noto Sans CJK SC"/>
        <family val="2"/>
      </rPr>
      <t xml:space="preserve">）</t>
    </r>
  </si>
  <si>
    <t xml:space="preserve">用量統計表＋訂閱方案</t>
  </si>
  <si>
    <t xml:space="preserve">續約風險預警</t>
  </si>
  <si>
    <t xml:space="preserve">「你們的點數用得夠不夠、會不會浪費」</t>
  </si>
  <si>
    <t xml:space="preserve">場景擴散：未交付同仁使用人數</t>
  </si>
  <si>
    <r>
      <rPr>
        <sz val="10"/>
        <rFont val="Arial"/>
        <family val="0"/>
        <charset val="1"/>
      </rPr>
      <t xml:space="preserve">≥2 </t>
    </r>
    <r>
      <rPr>
        <sz val="10"/>
        <rFont val="Noto Sans CJK SC"/>
        <family val="2"/>
      </rPr>
      <t xml:space="preserve">人</t>
    </r>
  </si>
  <si>
    <r>
      <rPr>
        <sz val="10"/>
        <rFont val="Noto Sans CJK SC"/>
        <family val="2"/>
      </rPr>
      <t xml:space="preserve">平台後台</t>
    </r>
    <r>
      <rPr>
        <sz val="10"/>
        <rFont val="Arial"/>
        <family val="0"/>
        <charset val="1"/>
      </rPr>
      <t xml:space="preserve">-</t>
    </r>
    <r>
      <rPr>
        <sz val="10"/>
        <rFont val="Noto Sans CJK SC"/>
        <family val="2"/>
      </rPr>
      <t xml:space="preserve">使用者清單</t>
    </r>
  </si>
  <si>
    <t xml:space="preserve">由主管機制推動，不要求窗口負責推廣</t>
  </si>
  <si>
    <t xml:space="preserve">「有沒有別的部門也想試」</t>
  </si>
  <si>
    <t xml:space="preserve">顧問輔導觸發</t>
  </si>
  <si>
    <t xml:space="preserve">依累積信件樣本設計客製分類規則</t>
  </si>
  <si>
    <t xml:space="preserve">顧問記錄</t>
  </si>
  <si>
    <t xml:space="preserve">進入加值輔導</t>
  </si>
  <si>
    <t xml:space="preserve">「現在有你們真實的信件樣本了，可以來做分類」</t>
  </si>
  <si>
    <r>
      <rPr>
        <b val="true"/>
        <sz val="10"/>
        <rFont val="Noto Sans CJK SC"/>
        <family val="2"/>
      </rPr>
      <t xml:space="preserve">持續經營機制（</t>
    </r>
    <r>
      <rPr>
        <b val="true"/>
        <sz val="10"/>
        <rFont val="Arial"/>
        <family val="0"/>
        <charset val="1"/>
      </rPr>
      <t xml:space="preserve">D+30 </t>
    </r>
    <r>
      <rPr>
        <b val="true"/>
        <sz val="10"/>
        <rFont val="Noto Sans CJK SC"/>
        <family val="2"/>
      </rPr>
      <t xml:space="preserve">之後）</t>
    </r>
  </si>
  <si>
    <r>
      <rPr>
        <sz val="10"/>
        <rFont val="Noto Sans CJK SC"/>
        <family val="2"/>
      </rPr>
      <t xml:space="preserve">新場景上架通知｜每月｜場景庫新增 </t>
    </r>
    <r>
      <rPr>
        <sz val="10"/>
        <rFont val="Arial"/>
        <family val="0"/>
        <charset val="1"/>
      </rPr>
      <t xml:space="preserve">3-5 </t>
    </r>
    <r>
      <rPr>
        <sz val="10"/>
        <rFont val="Noto Sans CJK SC"/>
        <family val="2"/>
      </rPr>
      <t xml:space="preserve">張卡，發信通知並附一鍵加入｜給客戶回來的理由，也給我方月度接觸點</t>
    </r>
  </si>
  <si>
    <t xml:space="preserve">點數與效益月報｜每月｜誰在用、用了什麼、點數花在哪、估算節省工時｜主管背書＋續約論述；延續點數透明化</t>
  </si>
  <si>
    <t xml:space="preserve">值日生分享回收｜每季｜收集客戶自建卡，優秀者收進公版場景庫｜場景庫自我增長</t>
  </si>
  <si>
    <r>
      <rPr>
        <b val="true"/>
        <sz val="13"/>
        <color rgb="FF1F3864"/>
        <rFont val="Noto Sans CJK SC"/>
        <family val="2"/>
      </rPr>
      <t xml:space="preserve">環境交付規格書（</t>
    </r>
    <r>
      <rPr>
        <b val="true"/>
        <sz val="13"/>
        <color rgb="FF1F3864"/>
        <rFont val="Arial"/>
        <family val="0"/>
        <charset val="1"/>
      </rPr>
      <t xml:space="preserve">v1.1 </t>
    </r>
    <r>
      <rPr>
        <b val="true"/>
        <sz val="13"/>
        <color rgb="FF1F3864"/>
        <rFont val="Noto Sans CJK SC"/>
        <family val="2"/>
      </rPr>
      <t xml:space="preserve">新增；交付成立要件，段 </t>
    </r>
    <r>
      <rPr>
        <b val="true"/>
        <sz val="13"/>
        <color rgb="FF1F3864"/>
        <rFont val="Arial"/>
        <family val="0"/>
        <charset val="1"/>
      </rPr>
      <t xml:space="preserve">0 </t>
    </r>
    <r>
      <rPr>
        <b val="true"/>
        <sz val="13"/>
        <color rgb="FF1F3864"/>
        <rFont val="Noto Sans CJK SC"/>
        <family val="2"/>
      </rPr>
      <t xml:space="preserve">逐項簽認）</t>
    </r>
  </si>
  <si>
    <r>
      <rPr>
        <i val="true"/>
        <sz val="9"/>
        <color rgb="FF808080"/>
        <rFont val="Noto Sans CJK SC"/>
        <family val="2"/>
      </rPr>
      <t xml:space="preserve">行前 </t>
    </r>
    <r>
      <rPr>
        <i val="true"/>
        <sz val="9"/>
        <color rgb="FF808080"/>
        <rFont val="Arial"/>
        <family val="0"/>
        <charset val="1"/>
      </rPr>
      <t xml:space="preserve">3 </t>
    </r>
    <r>
      <rPr>
        <i val="true"/>
        <sz val="9"/>
        <color rgb="FF808080"/>
        <rFont val="Noto Sans CJK SC"/>
        <family val="2"/>
      </rPr>
      <t xml:space="preserve">工作日先發客戶 </t>
    </r>
    <r>
      <rPr>
        <i val="true"/>
        <sz val="9"/>
        <color rgb="FF808080"/>
        <rFont val="Arial"/>
        <family val="0"/>
        <charset val="1"/>
      </rPr>
      <t xml:space="preserve">IT </t>
    </r>
    <r>
      <rPr>
        <i val="true"/>
        <sz val="9"/>
        <color rgb="FF808080"/>
        <rFont val="Noto Sans CJK SC"/>
        <family val="2"/>
      </rPr>
      <t xml:space="preserve">預覽，段 </t>
    </r>
    <r>
      <rPr>
        <i val="true"/>
        <sz val="9"/>
        <color rgb="FF808080"/>
        <rFont val="Arial"/>
        <family val="0"/>
        <charset val="1"/>
      </rPr>
      <t xml:space="preserve">0 </t>
    </r>
    <r>
      <rPr>
        <i val="true"/>
        <sz val="9"/>
        <color rgb="FF808080"/>
        <rFont val="Noto Sans CJK SC"/>
        <family val="2"/>
      </rPr>
      <t xml:space="preserve">當場逐項確認。黃色底為填寫欄。第 </t>
    </r>
    <r>
      <rPr>
        <i val="true"/>
        <sz val="9"/>
        <color rgb="FF808080"/>
        <rFont val="Arial"/>
        <family val="0"/>
        <charset val="1"/>
      </rPr>
      <t xml:space="preserve">12 </t>
    </r>
    <r>
      <rPr>
        <i val="true"/>
        <sz val="9"/>
        <color rgb="FF808080"/>
        <rFont val="Noto Sans CJK SC"/>
        <family val="2"/>
      </rPr>
      <t xml:space="preserve">項客戶一定會問。</t>
    </r>
  </si>
  <si>
    <t xml:space="preserve">項目</t>
  </si>
  <si>
    <r>
      <rPr>
        <b val="true"/>
        <sz val="10"/>
        <color rgb="FFFFFFFF"/>
        <rFont val="Noto Sans CJK SC"/>
        <family val="2"/>
      </rPr>
      <t xml:space="preserve">客戶 </t>
    </r>
    <r>
      <rPr>
        <b val="true"/>
        <sz val="10"/>
        <color rgb="FFFFFFFF"/>
        <rFont val="Arial"/>
        <family val="0"/>
        <charset val="1"/>
      </rPr>
      <t xml:space="preserve">IT </t>
    </r>
    <r>
      <rPr>
        <b val="true"/>
        <sz val="10"/>
        <color rgb="FFFFFFFF"/>
        <rFont val="Noto Sans CJK SC"/>
        <family val="2"/>
      </rPr>
      <t xml:space="preserve">一定會問的問題</t>
    </r>
  </si>
  <si>
    <t xml:space="preserve">我方填寫</t>
  </si>
  <si>
    <r>
      <rPr>
        <b val="true"/>
        <sz val="10"/>
        <color rgb="FFFFFFFF"/>
        <rFont val="Noto Sans CJK SC"/>
        <family val="2"/>
      </rPr>
      <t xml:space="preserve">客戶確認</t>
    </r>
    <r>
      <rPr>
        <b val="true"/>
        <sz val="10"/>
        <color rgb="FFFFFFFF"/>
        <rFont val="Arial"/>
        <family val="0"/>
        <charset val="1"/>
      </rPr>
      <t xml:space="preserve">(1/0)</t>
    </r>
  </si>
  <si>
    <t xml:space="preserve">主機放置位置</t>
  </si>
  <si>
    <r>
      <rPr>
        <sz val="10"/>
        <rFont val="Noto Sans CJK SC"/>
        <family val="2"/>
      </rPr>
      <t xml:space="preserve">放哪個機櫃？有沒有 </t>
    </r>
    <r>
      <rPr>
        <sz val="10"/>
        <rFont val="Arial"/>
        <family val="0"/>
        <charset val="1"/>
      </rPr>
      <t xml:space="preserve">U </t>
    </r>
    <r>
      <rPr>
        <sz val="10"/>
        <rFont val="Noto Sans CJK SC"/>
        <family val="2"/>
      </rPr>
      <t xml:space="preserve">位？誰有實體存取權？</t>
    </r>
  </si>
  <si>
    <t xml:space="preserve">機房空間與動線先講好，不會臨時要你騰位置</t>
  </si>
  <si>
    <t xml:space="preserve">網段規劃</t>
  </si>
  <si>
    <r>
      <rPr>
        <sz val="10"/>
        <rFont val="Noto Sans CJK SC"/>
        <family val="2"/>
      </rPr>
      <t xml:space="preserve">放哪個網段？要不要跟 </t>
    </r>
    <r>
      <rPr>
        <sz val="10"/>
        <rFont val="Arial"/>
        <family val="0"/>
        <charset val="1"/>
      </rPr>
      <t xml:space="preserve">ERP </t>
    </r>
    <r>
      <rPr>
        <sz val="10"/>
        <rFont val="Noto Sans CJK SC"/>
        <family val="2"/>
      </rPr>
      <t xml:space="preserve">同網段？</t>
    </r>
  </si>
  <si>
    <t xml:space="preserve">不會事後才發現跟現有架構打架</t>
  </si>
  <si>
    <r>
      <rPr>
        <sz val="10"/>
        <rFont val="Arial"/>
        <family val="0"/>
        <charset val="1"/>
      </rPr>
      <t xml:space="preserve">AD </t>
    </r>
    <r>
      <rPr>
        <sz val="10"/>
        <rFont val="Noto Sans CJK SC"/>
        <family val="2"/>
      </rPr>
      <t xml:space="preserve">整合</t>
    </r>
  </si>
  <si>
    <r>
      <rPr>
        <sz val="10"/>
        <rFont val="Noto Sans CJK SC"/>
        <family val="2"/>
      </rPr>
      <t xml:space="preserve">要不要進 </t>
    </r>
    <r>
      <rPr>
        <sz val="10"/>
        <rFont val="Arial"/>
        <family val="0"/>
        <charset val="1"/>
      </rPr>
      <t xml:space="preserve">AD</t>
    </r>
    <r>
      <rPr>
        <sz val="10"/>
        <rFont val="Noto Sans CJK SC"/>
        <family val="2"/>
      </rPr>
      <t xml:space="preserve">？帳號怎麼對應？離職帳號怎麼停用？</t>
    </r>
  </si>
  <si>
    <r>
      <rPr>
        <sz val="10"/>
        <rFont val="Noto Sans CJK SC"/>
        <family val="2"/>
      </rPr>
      <t xml:space="preserve">離職帳號跟著 </t>
    </r>
    <r>
      <rPr>
        <sz val="10"/>
        <rFont val="Arial"/>
        <family val="0"/>
        <charset val="1"/>
      </rPr>
      <t xml:space="preserve">AD </t>
    </r>
    <r>
      <rPr>
        <sz val="10"/>
        <rFont val="Noto Sans CJK SC"/>
        <family val="2"/>
      </rPr>
      <t xml:space="preserve">停用，不會變成沒人管的孤兒帳號</t>
    </r>
  </si>
  <si>
    <r>
      <rPr>
        <sz val="10"/>
        <rFont val="Noto Sans CJK SC"/>
        <family val="2"/>
      </rPr>
      <t xml:space="preserve">對外連線與 </t>
    </r>
    <r>
      <rPr>
        <sz val="10"/>
        <rFont val="Arial"/>
        <family val="0"/>
        <charset val="1"/>
      </rPr>
      <t xml:space="preserve">port</t>
    </r>
  </si>
  <si>
    <r>
      <rPr>
        <sz val="10"/>
        <rFont val="Arial"/>
        <family val="0"/>
        <charset val="1"/>
      </rPr>
      <t xml:space="preserve">OAPI </t>
    </r>
    <r>
      <rPr>
        <sz val="10"/>
        <rFont val="Noto Sans CJK SC"/>
        <family val="2"/>
      </rPr>
      <t xml:space="preserve">是否往外連？走哪個 </t>
    </r>
    <r>
      <rPr>
        <sz val="10"/>
        <rFont val="Arial"/>
        <family val="0"/>
        <charset val="1"/>
      </rPr>
      <t xml:space="preserve">port</t>
    </r>
    <r>
      <rPr>
        <sz val="10"/>
        <rFont val="Noto Sans CJK SC"/>
        <family val="2"/>
      </rPr>
      <t xml:space="preserve">？防火牆例外要不要申請？</t>
    </r>
  </si>
  <si>
    <t xml:space="preserve">資安例外申請可以先跑，不會卡在交付當天</t>
  </si>
  <si>
    <t xml:space="preserve">備份</t>
  </si>
  <si>
    <t xml:space="preserve">這台要不要備份？誰備？備到哪？多久一次？還原測試誰做？</t>
  </si>
  <si>
    <t xml:space="preserve">出事時知道救得回來，也知道誰負責救</t>
  </si>
  <si>
    <r>
      <rPr>
        <sz val="10"/>
        <rFont val="Noto Sans CJK SC"/>
        <family val="2"/>
      </rPr>
      <t xml:space="preserve">電力與 </t>
    </r>
    <r>
      <rPr>
        <sz val="10"/>
        <rFont val="Arial"/>
        <family val="0"/>
        <charset val="1"/>
      </rPr>
      <t xml:space="preserve">UPS</t>
    </r>
  </si>
  <si>
    <r>
      <rPr>
        <sz val="10"/>
        <rFont val="Noto Sans CJK SC"/>
        <family val="2"/>
      </rPr>
      <t xml:space="preserve">掛哪個 </t>
    </r>
    <r>
      <rPr>
        <sz val="10"/>
        <rFont val="Arial"/>
        <family val="0"/>
        <charset val="1"/>
      </rPr>
      <t xml:space="preserve">UPS</t>
    </r>
    <r>
      <rPr>
        <sz val="10"/>
        <rFont val="Noto Sans CJK SC"/>
        <family val="2"/>
      </rPr>
      <t xml:space="preserve">？停電怎麼辦？復電會不會自動起來？</t>
    </r>
  </si>
  <si>
    <t xml:space="preserve">停電復電不用人半夜跑回公司開機</t>
  </si>
  <si>
    <t xml:space="preserve">資料落地邊界</t>
  </si>
  <si>
    <t xml:space="preserve">資料會不會出廠？哪些情況會有外部連線？</t>
  </si>
  <si>
    <t xml:space="preserve">客戶稽核問「資料有沒有出過廠」時答得出來</t>
  </si>
  <si>
    <t xml:space="preserve">上傳阻擋能力</t>
  </si>
  <si>
    <r>
      <rPr>
        <sz val="10"/>
        <rFont val="Noto Sans CJK SC"/>
        <family val="2"/>
      </rPr>
      <t xml:space="preserve">能否禁止特定副檔名（</t>
    </r>
    <r>
      <rPr>
        <sz val="10"/>
        <rFont val="Arial"/>
        <family val="0"/>
        <charset val="1"/>
      </rPr>
      <t xml:space="preserve">.dwg/.step</t>
    </r>
    <r>
      <rPr>
        <sz val="10"/>
        <rFont val="Noto Sans CJK SC"/>
        <family val="2"/>
      </rPr>
      <t xml:space="preserve">）或含特定關鍵字的內容？</t>
    </r>
  </si>
  <si>
    <r>
      <rPr>
        <sz val="10"/>
        <rFont val="Noto Sans CJK SC"/>
        <family val="2"/>
      </rPr>
      <t xml:space="preserve">圖面與 </t>
    </r>
    <r>
      <rPr>
        <sz val="10"/>
        <rFont val="Arial"/>
        <family val="0"/>
        <charset val="1"/>
      </rPr>
      <t xml:space="preserve">BOM </t>
    </r>
    <r>
      <rPr>
        <sz val="10"/>
        <rFont val="Noto Sans CJK SC"/>
        <family val="2"/>
      </rPr>
      <t xml:space="preserve">靠系統擋，不是靠同仁自律</t>
    </r>
  </si>
  <si>
    <r>
      <rPr>
        <sz val="10"/>
        <rFont val="Noto Sans CJK SC"/>
        <family val="2"/>
      </rPr>
      <t xml:space="preserve">稽核 </t>
    </r>
    <r>
      <rPr>
        <sz val="10"/>
        <rFont val="Arial"/>
        <family val="0"/>
        <charset val="1"/>
      </rPr>
      <t xml:space="preserve">log</t>
    </r>
  </si>
  <si>
    <t xml:space="preserve">誰在什麼時候貼了什麼可否查？保留多久？客戶能否自行調閱？</t>
  </si>
  <si>
    <t xml:space="preserve">真的出事查得到，稽核要看調得出來</t>
  </si>
  <si>
    <t xml:space="preserve">權限範圍</t>
  </si>
  <si>
    <t xml:space="preserve">誰看得到誰的對話？管理者看得到什麼？</t>
  </si>
  <si>
    <t xml:space="preserve">同仁知道自己的對話誰看得到，才敢用</t>
  </si>
  <si>
    <t xml:space="preserve">信箱存取</t>
  </si>
  <si>
    <t xml:space="preserve">排程讀信用什麼帳號連？憑證存哪？主機失竊的影響範圍？</t>
  </si>
  <si>
    <t xml:space="preserve">知道風險邊界，才敢開信件類排程</t>
  </si>
  <si>
    <t xml:space="preserve">故障聯絡窗口與回應時間</t>
  </si>
  <si>
    <t xml:space="preserve">壞了找誰？多久回？有沒有服務時間與回應時限？</t>
  </si>
  <si>
    <t xml:space="preserve">不會變成「多一台沒人管的機器」——這題客戶一定會問</t>
  </si>
  <si>
    <t xml:space="preserve">維護與更新</t>
  </si>
  <si>
    <t xml:space="preserve">誰做版本更新？要不要停機？停機時間多長？事前通知多久？</t>
  </si>
  <si>
    <t xml:space="preserve">停機可以排進你的維護窗口，不會突襲</t>
  </si>
  <si>
    <t xml:space="preserve">退場</t>
  </si>
  <si>
    <t xml:space="preserve">不續約時資料怎麼處理？主機怎麼辦？</t>
  </si>
  <si>
    <t xml:space="preserve">不續約時資料怎麼帶走或銷毀，一開始就講清楚</t>
  </si>
  <si>
    <t xml:space="preserve">已確認項數</t>
  </si>
  <si>
    <t xml:space="preserve">全數確認？</t>
  </si>
  <si>
    <r>
      <rPr>
        <b val="true"/>
        <sz val="10"/>
        <color rgb="FFC00000"/>
        <rFont val="Noto Sans CJK SC"/>
        <family val="2"/>
      </rPr>
      <t xml:space="preserve">⚠️ 第 </t>
    </r>
    <r>
      <rPr>
        <b val="true"/>
        <sz val="10"/>
        <color rgb="FFC00000"/>
        <rFont val="Arial"/>
        <family val="0"/>
        <charset val="1"/>
      </rPr>
      <t xml:space="preserve">8</t>
    </r>
    <r>
      <rPr>
        <b val="true"/>
        <sz val="10"/>
        <color rgb="FFC00000"/>
        <rFont val="Noto Sans CJK SC"/>
        <family val="2"/>
      </rPr>
      <t xml:space="preserve">、</t>
    </r>
    <r>
      <rPr>
        <b val="true"/>
        <sz val="10"/>
        <color rgb="FFC00000"/>
        <rFont val="Arial"/>
        <family val="0"/>
        <charset val="1"/>
      </rPr>
      <t xml:space="preserve">9</t>
    </r>
    <r>
      <rPr>
        <b val="true"/>
        <sz val="10"/>
        <color rgb="FFC00000"/>
        <rFont val="Noto Sans CJK SC"/>
        <family val="2"/>
      </rPr>
      <t xml:space="preserve">、</t>
    </r>
    <r>
      <rPr>
        <b val="true"/>
        <sz val="10"/>
        <color rgb="FFC00000"/>
        <rFont val="Arial"/>
        <family val="0"/>
        <charset val="1"/>
      </rPr>
      <t xml:space="preserve">10</t>
    </r>
    <r>
      <rPr>
        <b val="true"/>
        <sz val="10"/>
        <color rgb="FFC00000"/>
        <rFont val="Noto Sans CJK SC"/>
        <family val="2"/>
      </rPr>
      <t xml:space="preserve">、</t>
    </r>
    <r>
      <rPr>
        <b val="true"/>
        <sz val="10"/>
        <color rgb="FFC00000"/>
        <rFont val="Arial"/>
        <family val="0"/>
        <charset val="1"/>
      </rPr>
      <t xml:space="preserve">11 </t>
    </r>
    <r>
      <rPr>
        <b val="true"/>
        <sz val="10"/>
        <color rgb="FFC00000"/>
        <rFont val="Noto Sans CJK SC"/>
        <family val="2"/>
      </rPr>
      <t xml:space="preserve">項的技術能力尚未逐項向產品端確認（交付方法論待確認 </t>
    </r>
    <r>
      <rPr>
        <b val="true"/>
        <sz val="10"/>
        <color rgb="FFC00000"/>
        <rFont val="Arial"/>
        <family val="0"/>
        <charset val="1"/>
      </rPr>
      <t xml:space="preserve">#9</t>
    </r>
    <r>
      <rPr>
        <b val="true"/>
        <sz val="10"/>
        <color rgb="FFC00000"/>
        <rFont val="Noto Sans CJK SC"/>
        <family val="2"/>
      </rPr>
      <t xml:space="preserve">、</t>
    </r>
    <r>
      <rPr>
        <b val="true"/>
        <sz val="10"/>
        <color rgb="FFC00000"/>
        <rFont val="Arial"/>
        <family val="0"/>
        <charset val="1"/>
      </rPr>
      <t xml:space="preserve">#11</t>
    </r>
    <r>
      <rPr>
        <b val="true"/>
        <sz val="10"/>
        <color rgb="FFC00000"/>
        <rFont val="Noto Sans CJK SC"/>
        <family val="2"/>
      </rPr>
      <t xml:space="preserve">）。做不到的項目必須誠實告知客戶並說明替代管制，不得含糊帶過。</t>
    </r>
  </si>
  <si>
    <r>
      <rPr>
        <b val="true"/>
        <sz val="13"/>
        <color rgb="FF1F3864"/>
        <rFont val="Noto Sans CJK SC"/>
        <family val="2"/>
      </rPr>
      <t xml:space="preserve">場景卡選用與跑通紀錄（逐人；供 </t>
    </r>
    <r>
      <rPr>
        <b val="true"/>
        <sz val="13"/>
        <color rgb="FF1F3864"/>
        <rFont val="Arial"/>
        <family val="0"/>
        <charset val="1"/>
      </rPr>
      <t xml:space="preserve">D+7/D+14 </t>
    </r>
    <r>
      <rPr>
        <b val="true"/>
        <sz val="13"/>
        <color rgb="FF1F3864"/>
        <rFont val="Noto Sans CJK SC"/>
        <family val="2"/>
      </rPr>
      <t xml:space="preserve">回訪比對）</t>
    </r>
  </si>
  <si>
    <t xml:space="preserve">與『場景庫』分頁分工：場景庫＝母表（挑哪幾張、佈署了沒）；本頁＝逐人紀錄（誰選了哪張、排程幾點、月預估點數、有沒有教怎麼關）。</t>
  </si>
  <si>
    <r>
      <rPr>
        <b val="true"/>
        <sz val="10"/>
        <color rgb="FFFFFFFF"/>
        <rFont val="Noto Sans CJK SC"/>
        <family val="2"/>
      </rPr>
      <t xml:space="preserve">來源</t>
    </r>
    <r>
      <rPr>
        <b val="true"/>
        <sz val="10"/>
        <color rgb="FFFFFFFF"/>
        <rFont val="Arial"/>
        <family val="0"/>
        <charset val="1"/>
      </rPr>
      <t xml:space="preserve">(</t>
    </r>
    <r>
      <rPr>
        <b val="true"/>
        <sz val="10"/>
        <color rgb="FFFFFFFF"/>
        <rFont val="Noto Sans CJK SC"/>
        <family val="2"/>
      </rPr>
      <t xml:space="preserve">選用</t>
    </r>
    <r>
      <rPr>
        <b val="true"/>
        <sz val="10"/>
        <color rgb="FFFFFFFF"/>
        <rFont val="Arial"/>
        <family val="0"/>
        <charset val="1"/>
      </rPr>
      <t xml:space="preserve">/</t>
    </r>
    <r>
      <rPr>
        <b val="true"/>
        <sz val="10"/>
        <color rgb="FFFFFFFF"/>
        <rFont val="Noto Sans CJK SC"/>
        <family val="2"/>
      </rPr>
      <t xml:space="preserve">自建</t>
    </r>
    <r>
      <rPr>
        <b val="true"/>
        <sz val="10"/>
        <color rgb="FFFFFFFF"/>
        <rFont val="Arial"/>
        <family val="0"/>
        <charset val="1"/>
      </rPr>
      <t xml:space="preserve">)</t>
    </r>
  </si>
  <si>
    <r>
      <rPr>
        <b val="true"/>
        <sz val="10"/>
        <color rgb="FFFFFFFF"/>
        <rFont val="Noto Sans CJK SC"/>
        <family val="2"/>
      </rPr>
      <t xml:space="preserve">當場跑通</t>
    </r>
    <r>
      <rPr>
        <b val="true"/>
        <sz val="10"/>
        <color rgb="FFFFFFFF"/>
        <rFont val="Arial"/>
        <family val="0"/>
        <charset val="1"/>
      </rPr>
      <t xml:space="preserve">(1/0)</t>
    </r>
  </si>
  <si>
    <r>
      <rPr>
        <b val="true"/>
        <sz val="10"/>
        <color rgb="FFFFFFFF"/>
        <rFont val="Noto Sans CJK SC"/>
        <family val="2"/>
      </rPr>
      <t xml:space="preserve">是否設為排程</t>
    </r>
    <r>
      <rPr>
        <b val="true"/>
        <sz val="10"/>
        <color rgb="FFFFFFFF"/>
        <rFont val="Arial"/>
        <family val="0"/>
        <charset val="1"/>
      </rPr>
      <t xml:space="preserve">(1/0)</t>
    </r>
  </si>
  <si>
    <t xml:space="preserve">排程時間</t>
  </si>
  <si>
    <t xml:space="preserve">每月預估點數</t>
  </si>
  <si>
    <r>
      <rPr>
        <b val="true"/>
        <sz val="10"/>
        <color rgb="FFFFFFFF"/>
        <rFont val="Noto Sans CJK SC"/>
        <family val="2"/>
      </rPr>
      <t xml:space="preserve">已教怎麼關</t>
    </r>
    <r>
      <rPr>
        <b val="true"/>
        <sz val="10"/>
        <color rgb="FFFFFFFF"/>
        <rFont val="Arial"/>
        <family val="0"/>
        <charset val="1"/>
      </rPr>
      <t xml:space="preserve">(1/0)</t>
    </r>
  </si>
  <si>
    <t xml:space="preserve">每日系統健檢摘要</t>
  </si>
  <si>
    <t xml:space="preserve">選用</t>
  </si>
  <si>
    <r>
      <rPr>
        <sz val="10"/>
        <rFont val="Noto Sans CJK SC"/>
        <family val="2"/>
      </rPr>
      <t xml:space="preserve">每日 </t>
    </r>
    <r>
      <rPr>
        <sz val="10"/>
        <rFont val="Arial"/>
        <family val="0"/>
        <charset val="1"/>
      </rPr>
      <t xml:space="preserve">08:00</t>
    </r>
  </si>
  <si>
    <r>
      <rPr>
        <sz val="10"/>
        <rFont val="Noto Sans CJK SC"/>
        <family val="2"/>
      </rPr>
      <t xml:space="preserve">低（約為信件摘要類 </t>
    </r>
    <r>
      <rPr>
        <sz val="10"/>
        <rFont val="Arial"/>
        <family val="0"/>
        <charset val="1"/>
      </rPr>
      <t xml:space="preserve">1/3</t>
    </r>
    <r>
      <rPr>
        <sz val="10"/>
        <rFont val="Noto Sans CJK SC"/>
        <family val="2"/>
      </rPr>
      <t xml:space="preserve">）</t>
    </r>
  </si>
  <si>
    <r>
      <rPr>
        <sz val="10"/>
        <rFont val="Arial"/>
        <family val="0"/>
        <charset val="1"/>
      </rPr>
      <t xml:space="preserve">MIS </t>
    </r>
    <r>
      <rPr>
        <sz val="10"/>
        <rFont val="Noto Sans CJK SC"/>
        <family val="2"/>
      </rPr>
      <t xml:space="preserve">首選每日排程，非 </t>
    </r>
    <r>
      <rPr>
        <sz val="10"/>
        <rFont val="Arial"/>
        <family val="0"/>
        <charset val="1"/>
      </rPr>
      <t xml:space="preserve">L1-01</t>
    </r>
  </si>
  <si>
    <r>
      <rPr>
        <b val="true"/>
        <sz val="13"/>
        <color rgb="FF1F3864"/>
        <rFont val="Arial"/>
        <family val="0"/>
        <charset val="1"/>
      </rPr>
      <t xml:space="preserve">v1.1 </t>
    </r>
    <r>
      <rPr>
        <b val="true"/>
        <sz val="13"/>
        <color rgb="FF1F3864"/>
        <rFont val="Noto Sans CJK SC"/>
        <family val="2"/>
      </rPr>
      <t xml:space="preserve">修正對照、交付分級、待確認事項</t>
    </r>
  </si>
  <si>
    <r>
      <rPr>
        <b val="true"/>
        <sz val="10"/>
        <rFont val="Noto Sans CJK SC"/>
        <family val="2"/>
      </rPr>
      <t xml:space="preserve">一、</t>
    </r>
    <r>
      <rPr>
        <b val="true"/>
        <sz val="10"/>
        <rFont val="Arial"/>
        <family val="0"/>
        <charset val="1"/>
      </rPr>
      <t xml:space="preserve">v1.1 </t>
    </r>
    <r>
      <rPr>
        <b val="true"/>
        <sz val="10"/>
        <rFont val="Noto Sans CJK SC"/>
        <family val="2"/>
      </rPr>
      <t xml:space="preserve">修正對照（來源：製造業 </t>
    </r>
    <r>
      <rPr>
        <b val="true"/>
        <sz val="10"/>
        <rFont val="Arial"/>
        <family val="0"/>
        <charset val="1"/>
      </rPr>
      <t xml:space="preserve">IT </t>
    </r>
    <r>
      <rPr>
        <b val="true"/>
        <sz val="10"/>
        <rFont val="Noto Sans CJK SC"/>
        <family val="2"/>
      </rPr>
      <t xml:space="preserve">視角評估 </t>
    </r>
    <r>
      <rPr>
        <b val="true"/>
        <sz val="10"/>
        <rFont val="Arial"/>
        <family val="0"/>
        <charset val="1"/>
      </rPr>
      <t xml:space="preserve">20260908</t>
    </r>
    <r>
      <rPr>
        <b val="true"/>
        <sz val="10"/>
        <rFont val="Noto Sans CJK SC"/>
        <family val="2"/>
      </rPr>
      <t xml:space="preserve">）</t>
    </r>
  </si>
  <si>
    <t xml:space="preserve">客戶視角發現的問題</t>
  </si>
  <si>
    <r>
      <rPr>
        <b val="true"/>
        <sz val="10"/>
        <color rgb="FFFFFFFF"/>
        <rFont val="Arial"/>
        <family val="0"/>
        <charset val="1"/>
      </rPr>
      <t xml:space="preserve">v1.1 </t>
    </r>
    <r>
      <rPr>
        <b val="true"/>
        <sz val="10"/>
        <color rgb="FFFFFFFF"/>
        <rFont val="Noto Sans CJK SC"/>
        <family val="2"/>
      </rPr>
      <t xml:space="preserve">修正</t>
    </r>
  </si>
  <si>
    <t xml:space="preserve">💡 客戶因此得到什麼</t>
  </si>
  <si>
    <r>
      <rPr>
        <sz val="10"/>
        <rFont val="Noto Sans CJK SC"/>
        <family val="2"/>
      </rPr>
      <t xml:space="preserve">菜單 </t>
    </r>
    <r>
      <rPr>
        <sz val="10"/>
        <rFont val="Arial"/>
        <family val="0"/>
        <charset val="1"/>
      </rPr>
      <t xml:space="preserve">21 </t>
    </r>
    <r>
      <rPr>
        <sz val="10"/>
        <rFont val="Noto Sans CJK SC"/>
        <family val="2"/>
      </rPr>
      <t xml:space="preserve">張卡對製造業 </t>
    </r>
    <r>
      <rPr>
        <sz val="10"/>
        <rFont val="Arial"/>
        <family val="0"/>
        <charset val="1"/>
      </rPr>
      <t xml:space="preserve">IT </t>
    </r>
    <r>
      <rPr>
        <sz val="10"/>
        <rFont val="Noto Sans CJK SC"/>
        <family val="2"/>
      </rPr>
      <t xml:space="preserve">只有 </t>
    </r>
    <r>
      <rPr>
        <sz val="10"/>
        <rFont val="Arial"/>
        <family val="0"/>
        <charset val="1"/>
      </rPr>
      <t xml:space="preserve">3 </t>
    </r>
    <r>
      <rPr>
        <sz val="10"/>
        <rFont val="Noto Sans CJK SC"/>
        <family val="2"/>
      </rPr>
      <t xml:space="preserve">張有用；</t>
    </r>
    <r>
      <rPr>
        <sz val="10"/>
        <rFont val="Arial"/>
        <family val="0"/>
        <charset val="1"/>
      </rPr>
      <t xml:space="preserve">ERP </t>
    </r>
    <r>
      <rPr>
        <sz val="10"/>
        <rFont val="Noto Sans CJK SC"/>
        <family val="2"/>
      </rPr>
      <t xml:space="preserve">問答這個最痛的點完全缺席</t>
    </r>
  </si>
  <si>
    <r>
      <rPr>
        <sz val="10"/>
        <rFont val="Noto Sans CJK SC"/>
        <family val="2"/>
      </rPr>
      <t xml:space="preserve">新增 </t>
    </r>
    <r>
      <rPr>
        <sz val="10"/>
        <rFont val="Arial"/>
        <family val="0"/>
        <charset val="1"/>
      </rPr>
      <t xml:space="preserve">L2-MIS </t>
    </r>
    <r>
      <rPr>
        <sz val="10"/>
        <rFont val="Noto Sans CJK SC"/>
        <family val="2"/>
      </rPr>
      <t xml:space="preserve">製造業 </t>
    </r>
    <r>
      <rPr>
        <sz val="10"/>
        <rFont val="Arial"/>
        <family val="0"/>
        <charset val="1"/>
      </rPr>
      <t xml:space="preserve">IT/MIS </t>
    </r>
    <r>
      <rPr>
        <sz val="10"/>
        <rFont val="Noto Sans CJK SC"/>
        <family val="2"/>
      </rPr>
      <t xml:space="preserve">包 </t>
    </r>
    <r>
      <rPr>
        <sz val="10"/>
        <rFont val="Arial"/>
        <family val="0"/>
        <charset val="1"/>
      </rPr>
      <t xml:space="preserve">6 </t>
    </r>
    <r>
      <rPr>
        <sz val="10"/>
        <rFont val="Noto Sans CJK SC"/>
        <family val="2"/>
      </rPr>
      <t xml:space="preserve">張，核心為 </t>
    </r>
    <r>
      <rPr>
        <sz val="10"/>
        <rFont val="Arial"/>
        <family val="0"/>
        <charset val="1"/>
      </rPr>
      <t xml:space="preserve">ERP </t>
    </r>
    <r>
      <rPr>
        <sz val="10"/>
        <rFont val="Noto Sans CJK SC"/>
        <family val="2"/>
      </rPr>
      <t xml:space="preserve">操作問答；列為原則 </t>
    </r>
    <r>
      <rPr>
        <sz val="10"/>
        <rFont val="Arial"/>
        <family val="0"/>
        <charset val="1"/>
      </rPr>
      <t xml:space="preserve">P0</t>
    </r>
  </si>
  <si>
    <t xml:space="preserve">資訊課一天少接十通電話；窗口本人第一次覺得這東西是幫他的</t>
  </si>
  <si>
    <r>
      <rPr>
        <sz val="10"/>
        <rFont val="Noto Sans CJK SC"/>
        <family val="2"/>
      </rPr>
      <t xml:space="preserve">客戶第一句話是「資料會不會外流」，</t>
    </r>
    <r>
      <rPr>
        <sz val="10"/>
        <rFont val="Arial"/>
        <family val="0"/>
        <charset val="1"/>
      </rPr>
      <t xml:space="preserve">v1.0 </t>
    </r>
    <r>
      <rPr>
        <sz val="10"/>
        <rFont val="Noto Sans CJK SC"/>
        <family val="2"/>
      </rPr>
      <t xml:space="preserve">無人回答</t>
    </r>
  </si>
  <si>
    <r>
      <rPr>
        <sz val="10"/>
        <rFont val="Noto Sans CJK SC"/>
        <family val="2"/>
      </rPr>
      <t xml:space="preserve">新增段 </t>
    </r>
    <r>
      <rPr>
        <sz val="10"/>
        <rFont val="Arial"/>
        <family val="0"/>
        <charset val="1"/>
      </rPr>
      <t xml:space="preserve">0</t>
    </r>
    <r>
      <rPr>
        <sz val="10"/>
        <rFont val="Noto Sans CJK SC"/>
        <family val="2"/>
      </rPr>
      <t xml:space="preserve">（</t>
    </r>
    <r>
      <rPr>
        <sz val="10"/>
        <rFont val="Arial"/>
        <family val="0"/>
        <charset val="1"/>
      </rPr>
      <t xml:space="preserve">0.5H</t>
    </r>
    <r>
      <rPr>
        <sz val="10"/>
        <rFont val="Noto Sans CJK SC"/>
        <family val="2"/>
      </rPr>
      <t xml:space="preserve">），交付第一份文件是《資料落地與管制說明》</t>
    </r>
  </si>
  <si>
    <t xml:space="preserve">一份可以直接給稽核看的說明，不用臨時找廠商要答案</t>
  </si>
  <si>
    <r>
      <rPr>
        <sz val="10"/>
        <rFont val="Noto Sans CJK SC"/>
        <family val="2"/>
      </rPr>
      <t xml:space="preserve">「不得貼入客戶名單」只是使用者自律，</t>
    </r>
    <r>
      <rPr>
        <sz val="10"/>
        <rFont val="Arial"/>
        <family val="0"/>
        <charset val="1"/>
      </rPr>
      <t xml:space="preserve">IT </t>
    </r>
    <r>
      <rPr>
        <sz val="10"/>
        <rFont val="Noto Sans CJK SC"/>
        <family val="2"/>
      </rPr>
      <t xml:space="preserve">不接受、稽核過不了</t>
    </r>
  </si>
  <si>
    <r>
      <rPr>
        <sz val="10"/>
        <rFont val="Noto Sans CJK SC"/>
        <family val="2"/>
      </rPr>
      <t xml:space="preserve">改為技術管制＋使用守則兩層：上傳阻擋、稽核 </t>
    </r>
    <r>
      <rPr>
        <sz val="10"/>
        <rFont val="Arial"/>
        <family val="0"/>
        <charset val="1"/>
      </rPr>
      <t xml:space="preserve">log</t>
    </r>
    <r>
      <rPr>
        <sz val="10"/>
        <rFont val="Noto Sans CJK SC"/>
        <family val="2"/>
      </rPr>
      <t xml:space="preserve">、保留期限</t>
    </r>
  </si>
  <si>
    <t xml:space="preserve">管制不是靠同仁自律：查得到誰貼過什麼，稽核時調得出來</t>
  </si>
  <si>
    <r>
      <rPr>
        <sz val="10"/>
        <rFont val="Noto Sans CJK SC"/>
        <family val="2"/>
      </rPr>
      <t xml:space="preserve">「客戶不需在場」對 </t>
    </r>
    <r>
      <rPr>
        <sz val="10"/>
        <rFont val="Arial"/>
        <family val="0"/>
        <charset val="1"/>
      </rPr>
      <t xml:space="preserve">IT </t>
    </r>
    <r>
      <rPr>
        <sz val="10"/>
        <rFont val="Noto Sans CJK SC"/>
        <family val="2"/>
      </rPr>
      <t xml:space="preserve">是錯的假設；主機位置</t>
    </r>
    <r>
      <rPr>
        <sz val="10"/>
        <rFont val="Arial"/>
        <family val="0"/>
        <charset val="1"/>
      </rPr>
      <t xml:space="preserve">/</t>
    </r>
    <r>
      <rPr>
        <sz val="10"/>
        <rFont val="Noto Sans CJK SC"/>
        <family val="2"/>
      </rPr>
      <t xml:space="preserve">備份</t>
    </r>
    <r>
      <rPr>
        <sz val="10"/>
        <rFont val="Arial"/>
        <family val="0"/>
        <charset val="1"/>
      </rPr>
      <t xml:space="preserve">/</t>
    </r>
    <r>
      <rPr>
        <sz val="10"/>
        <rFont val="Noto Sans CJK SC"/>
        <family val="2"/>
      </rPr>
      <t xml:space="preserve">故障窗口全無交代</t>
    </r>
  </si>
  <si>
    <r>
      <rPr>
        <sz val="10"/>
        <rFont val="Arial"/>
        <family val="0"/>
        <charset val="1"/>
      </rPr>
      <t xml:space="preserve">IT </t>
    </r>
    <r>
      <rPr>
        <sz val="10"/>
        <rFont val="Noto Sans CJK SC"/>
        <family val="2"/>
      </rPr>
      <t xml:space="preserve">必須在場；新增《環境交付規格書》分頁並列為交付成立要件</t>
    </r>
  </si>
  <si>
    <t xml:space="preserve">這台機器不會變成黑盒子；壞了知道找誰、多久回</t>
  </si>
  <si>
    <r>
      <rPr>
        <sz val="10"/>
        <rFont val="Noto Sans CJK SC"/>
        <family val="2"/>
      </rPr>
      <t xml:space="preserve">行前包（</t>
    </r>
    <r>
      <rPr>
        <sz val="10"/>
        <rFont val="Arial"/>
        <family val="0"/>
        <charset val="1"/>
      </rPr>
      <t xml:space="preserve">3</t>
    </r>
    <r>
      <rPr>
        <sz val="10"/>
        <rFont val="Noto Sans CJK SC"/>
        <family val="2"/>
      </rPr>
      <t xml:space="preserve">文件</t>
    </r>
    <r>
      <rPr>
        <sz val="10"/>
        <rFont val="Arial"/>
        <family val="0"/>
        <charset val="1"/>
      </rPr>
      <t xml:space="preserve">+</t>
    </r>
    <r>
      <rPr>
        <sz val="10"/>
        <rFont val="Noto Sans CJK SC"/>
        <family val="2"/>
      </rPr>
      <t xml:space="preserve">錄音</t>
    </r>
    <r>
      <rPr>
        <sz val="10"/>
        <rFont val="Arial"/>
        <family val="0"/>
        <charset val="1"/>
      </rPr>
      <t xml:space="preserve">+</t>
    </r>
    <r>
      <rPr>
        <sz val="10"/>
        <rFont val="Noto Sans CJK SC"/>
        <family val="2"/>
      </rPr>
      <t xml:space="preserve">信件清單）會卡三週，且把延遲責任推給客戶</t>
    </r>
  </si>
  <si>
    <r>
      <rPr>
        <sz val="10"/>
        <rFont val="Noto Sans CJK SC"/>
        <family val="2"/>
      </rPr>
      <t xml:space="preserve">問卷改勾選式、素材減為 </t>
    </r>
    <r>
      <rPr>
        <sz val="10"/>
        <rFont val="Arial"/>
        <family val="0"/>
        <charset val="1"/>
      </rPr>
      <t xml:space="preserve">1 </t>
    </r>
    <r>
      <rPr>
        <sz val="10"/>
        <rFont val="Noto Sans CJK SC"/>
        <family val="2"/>
      </rPr>
      <t xml:space="preserve">份、取消錄音與信件清單；行前包不再阻擋排交付</t>
    </r>
  </si>
  <si>
    <t xml:space="preserve">準備工作五分鐘搞定，不用為了配合交付去簽呈調資料</t>
  </si>
  <si>
    <r>
      <rPr>
        <sz val="10"/>
        <rFont val="Noto Sans CJK SC"/>
        <family val="2"/>
      </rPr>
      <t xml:space="preserve">排程第 </t>
    </r>
    <r>
      <rPr>
        <sz val="10"/>
        <rFont val="Arial"/>
        <family val="0"/>
        <charset val="1"/>
      </rPr>
      <t xml:space="preserve">4 </t>
    </r>
    <r>
      <rPr>
        <sz val="10"/>
        <rFont val="Noto Sans CJK SC"/>
        <family val="2"/>
      </rPr>
      <t xml:space="preserve">週會被發現「在偷燒點數」，客戶會一次全關並失去信任</t>
    </r>
  </si>
  <si>
    <r>
      <rPr>
        <sz val="10"/>
        <rFont val="Noto Sans CJK SC"/>
        <family val="2"/>
      </rPr>
      <t xml:space="preserve">新增原則 </t>
    </r>
    <r>
      <rPr>
        <sz val="10"/>
        <rFont val="Arial"/>
        <family val="0"/>
        <charset val="1"/>
      </rPr>
      <t xml:space="preserve">P5 </t>
    </r>
    <r>
      <rPr>
        <sz val="10"/>
        <rFont val="Noto Sans CJK SC"/>
        <family val="2"/>
      </rPr>
      <t xml:space="preserve">點數透明化：預估點數揭露、</t>
    </r>
    <r>
      <rPr>
        <sz val="10"/>
        <rFont val="Arial"/>
        <family val="0"/>
        <charset val="1"/>
      </rPr>
      <t xml:space="preserve">D+7 </t>
    </r>
    <r>
      <rPr>
        <sz val="10"/>
        <rFont val="Noto Sans CJK SC"/>
        <family val="2"/>
      </rPr>
      <t xml:space="preserve">回饋信、未開啟自動降頻、當場教怎麼關</t>
    </r>
  </si>
  <si>
    <t xml:space="preserve">知道點數花在哪、怎麼關；沒在看的我們主動幫你關</t>
  </si>
  <si>
    <r>
      <rPr>
        <sz val="10"/>
        <rFont val="Noto Sans CJK SC"/>
        <family val="2"/>
      </rPr>
      <t xml:space="preserve">排程讀信＝</t>
    </r>
    <r>
      <rPr>
        <sz val="10"/>
        <rFont val="Arial"/>
        <family val="0"/>
        <charset val="1"/>
      </rPr>
      <t xml:space="preserve">AI </t>
    </r>
    <r>
      <rPr>
        <sz val="10"/>
        <rFont val="Noto Sans CJK SC"/>
        <family val="2"/>
      </rPr>
      <t xml:space="preserve">有信箱存取權，</t>
    </r>
    <r>
      <rPr>
        <sz val="10"/>
        <rFont val="Arial"/>
        <family val="0"/>
        <charset val="1"/>
      </rPr>
      <t xml:space="preserve">IT </t>
    </r>
    <r>
      <rPr>
        <sz val="10"/>
        <rFont val="Noto Sans CJK SC"/>
        <family val="2"/>
      </rPr>
      <t xml:space="preserve">本人就是管信箱的人</t>
    </r>
  </si>
  <si>
    <r>
      <rPr>
        <sz val="10"/>
        <rFont val="Noto Sans CJK SC"/>
        <family val="2"/>
      </rPr>
      <t xml:space="preserve">段 </t>
    </r>
    <r>
      <rPr>
        <sz val="10"/>
        <rFont val="Arial"/>
        <family val="0"/>
        <charset val="1"/>
      </rPr>
      <t xml:space="preserve">0 </t>
    </r>
    <r>
      <rPr>
        <sz val="10"/>
        <rFont val="Noto Sans CJK SC"/>
        <family val="2"/>
      </rPr>
      <t xml:space="preserve">交付信箱存取技術說明；列入待確認 </t>
    </r>
    <r>
      <rPr>
        <sz val="10"/>
        <rFont val="Arial"/>
        <family val="0"/>
        <charset val="1"/>
      </rPr>
      <t xml:space="preserve">#11</t>
    </r>
  </si>
  <si>
    <t xml:space="preserve">知道用什麼帳號連、憑證存哪，敢放心開信件類排程</t>
  </si>
  <si>
    <r>
      <rPr>
        <sz val="10"/>
        <rFont val="Noto Sans CJK SC"/>
        <family val="2"/>
      </rPr>
      <t xml:space="preserve">紙卡與 </t>
    </r>
    <r>
      <rPr>
        <sz val="10"/>
        <rFont val="Arial"/>
        <family val="0"/>
        <charset val="1"/>
      </rPr>
      <t xml:space="preserve">AI </t>
    </r>
    <r>
      <rPr>
        <sz val="10"/>
        <rFont val="Noto Sans CJK SC"/>
        <family val="2"/>
      </rPr>
      <t xml:space="preserve">值日生是新創做法；製造業靠主管在會議上問</t>
    </r>
  </si>
  <si>
    <r>
      <rPr>
        <sz val="10"/>
        <rFont val="Arial"/>
        <family val="0"/>
        <charset val="1"/>
      </rPr>
      <t xml:space="preserve">G </t>
    </r>
    <r>
      <rPr>
        <sz val="10"/>
        <rFont val="Noto Sans CJK SC"/>
        <family val="2"/>
      </rPr>
      <t xml:space="preserve">段改為主管當場承諾週會 </t>
    </r>
    <r>
      <rPr>
        <sz val="10"/>
        <rFont val="Arial"/>
        <family val="0"/>
        <charset val="1"/>
      </rPr>
      <t xml:space="preserve">5 </t>
    </r>
    <r>
      <rPr>
        <sz val="10"/>
        <rFont val="Noto Sans CJK SC"/>
        <family val="2"/>
      </rPr>
      <t xml:space="preserve">分鐘 </t>
    </r>
    <r>
      <rPr>
        <sz val="10"/>
        <rFont val="Arial"/>
        <family val="0"/>
        <charset val="1"/>
      </rPr>
      <t xml:space="preserve">demo</t>
    </r>
    <r>
      <rPr>
        <sz val="10"/>
        <rFont val="Noto Sans CJK SC"/>
        <family val="2"/>
      </rPr>
      <t xml:space="preserve">；</t>
    </r>
    <r>
      <rPr>
        <sz val="10"/>
        <rFont val="Arial"/>
        <family val="0"/>
        <charset val="1"/>
      </rPr>
      <t xml:space="preserve">D+14/D+30 </t>
    </r>
    <r>
      <rPr>
        <sz val="10"/>
        <rFont val="Noto Sans CJK SC"/>
        <family val="2"/>
      </rPr>
      <t xml:space="preserve">向主管確認而非問窗口</t>
    </r>
  </si>
  <si>
    <r>
      <rPr>
        <sz val="10"/>
        <rFont val="Noto Sans CJK SC"/>
        <family val="2"/>
      </rPr>
      <t xml:space="preserve">變成部門例行事；用 </t>
    </r>
    <r>
      <rPr>
        <sz val="10"/>
        <rFont val="Arial"/>
        <family val="0"/>
        <charset val="1"/>
      </rPr>
      <t xml:space="preserve">AI </t>
    </r>
    <r>
      <rPr>
        <sz val="10"/>
        <rFont val="Noto Sans CJK SC"/>
        <family val="2"/>
      </rPr>
      <t xml:space="preserve">不會被說不務正業</t>
    </r>
  </si>
  <si>
    <r>
      <rPr>
        <sz val="10"/>
        <rFont val="Noto Sans CJK SC"/>
        <family val="2"/>
      </rPr>
      <t xml:space="preserve">「任一人未通過即交付未完成」會被採購</t>
    </r>
    <r>
      <rPr>
        <sz val="10"/>
        <rFont val="Arial"/>
        <family val="0"/>
        <charset val="1"/>
      </rPr>
      <t xml:space="preserve">/</t>
    </r>
    <r>
      <rPr>
        <sz val="10"/>
        <rFont val="Noto Sans CJK SC"/>
        <family val="2"/>
      </rPr>
      <t xml:space="preserve">法務踩剎車；指標像在考核客戶</t>
    </r>
  </si>
  <si>
    <t xml:space="preserve">驗收與付款脫鉤（未過＝免費補訓）；對客戶改用效益語言（見離場後追蹤分頁）</t>
  </si>
  <si>
    <t xml:space="preserve">沒學會我方免費再來一次，不會變成尾款爭議</t>
  </si>
  <si>
    <r>
      <rPr>
        <sz val="10"/>
        <rFont val="Arial"/>
        <family val="0"/>
        <charset val="1"/>
      </rPr>
      <t xml:space="preserve">5-8 </t>
    </r>
    <r>
      <rPr>
        <sz val="10"/>
        <rFont val="Noto Sans CJK SC"/>
        <family val="2"/>
      </rPr>
      <t xml:space="preserve">人全程 </t>
    </r>
    <r>
      <rPr>
        <sz val="10"/>
        <rFont val="Arial"/>
        <family val="0"/>
        <charset val="1"/>
      </rPr>
      <t xml:space="preserve">8H </t>
    </r>
    <r>
      <rPr>
        <sz val="10"/>
        <rFont val="Noto Sans CJK SC"/>
        <family val="2"/>
      </rPr>
      <t xml:space="preserve">在製造業湊不到</t>
    </r>
  </si>
  <si>
    <r>
      <rPr>
        <sz val="10"/>
        <rFont val="Noto Sans CJK SC"/>
        <family val="2"/>
      </rPr>
      <t xml:space="preserve">改為核心 </t>
    </r>
    <r>
      <rPr>
        <sz val="10"/>
        <rFont val="Arial"/>
        <family val="0"/>
        <charset val="1"/>
      </rPr>
      <t xml:space="preserve">2 </t>
    </r>
    <r>
      <rPr>
        <sz val="10"/>
        <rFont val="Noto Sans CJK SC"/>
        <family val="2"/>
      </rPr>
      <t xml:space="preserve">人全程＋擴散 </t>
    </r>
    <r>
      <rPr>
        <sz val="10"/>
        <rFont val="Arial"/>
        <family val="0"/>
        <charset val="1"/>
      </rPr>
      <t xml:space="preserve">4-6 </t>
    </r>
    <r>
      <rPr>
        <sz val="10"/>
        <rFont val="Noto Sans CJK SC"/>
        <family val="2"/>
      </rPr>
      <t xml:space="preserve">人 </t>
    </r>
    <r>
      <rPr>
        <sz val="10"/>
        <rFont val="Arial"/>
        <family val="0"/>
        <charset val="1"/>
      </rPr>
      <t xml:space="preserve">2H</t>
    </r>
    <r>
      <rPr>
        <sz val="10"/>
        <rFont val="Noto Sans CJK SC"/>
        <family val="2"/>
      </rPr>
      <t xml:space="preserve">＋主管 </t>
    </r>
    <r>
      <rPr>
        <sz val="10"/>
        <rFont val="Arial"/>
        <family val="0"/>
        <charset val="1"/>
      </rPr>
      <t xml:space="preserve">30 </t>
    </r>
    <r>
      <rPr>
        <sz val="10"/>
        <rFont val="Noto Sans CJK SC"/>
        <family val="2"/>
      </rPr>
      <t xml:space="preserve">分鐘</t>
    </r>
  </si>
  <si>
    <t xml:space="preserve">產線不用為了教育訓練停一天；主管只花半小時</t>
  </si>
  <si>
    <r>
      <rPr>
        <b val="true"/>
        <sz val="10"/>
        <rFont val="Noto Sans CJK SC"/>
        <family val="2"/>
      </rPr>
      <t xml:space="preserve">二、交付分級（段 </t>
    </r>
    <r>
      <rPr>
        <b val="true"/>
        <sz val="10"/>
        <rFont val="Arial"/>
        <family val="0"/>
        <charset val="1"/>
      </rPr>
      <t xml:space="preserve">0 </t>
    </r>
    <r>
      <rPr>
        <b val="true"/>
        <sz val="10"/>
        <rFont val="Noto Sans CJK SC"/>
        <family val="2"/>
      </rPr>
      <t xml:space="preserve">不分級，每一級都必須做）</t>
    </r>
  </si>
  <si>
    <t xml:space="preserve">級別</t>
  </si>
  <si>
    <t xml:space="preserve">對象</t>
  </si>
  <si>
    <t xml:space="preserve">交付方式</t>
  </si>
  <si>
    <t xml:space="preserve">💡 對該級客戶的好處</t>
  </si>
  <si>
    <r>
      <rPr>
        <sz val="10"/>
        <rFont val="Arial"/>
        <family val="0"/>
        <charset val="1"/>
      </rPr>
      <t xml:space="preserve">A </t>
    </r>
    <r>
      <rPr>
        <sz val="10"/>
        <rFont val="Noto Sans CJK SC"/>
        <family val="2"/>
      </rPr>
      <t xml:space="preserve">級</t>
    </r>
  </si>
  <si>
    <r>
      <rPr>
        <sz val="10"/>
        <rFont val="Noto Sans CJK SC"/>
        <family val="2"/>
      </rPr>
      <t xml:space="preserve">有買資安專家分身／訂閱點數高／有續約價值（推估 </t>
    </r>
    <r>
      <rPr>
        <sz val="10"/>
        <rFont val="Arial"/>
        <family val="0"/>
        <charset val="1"/>
      </rPr>
      <t xml:space="preserve">20-30 </t>
    </r>
    <r>
      <rPr>
        <sz val="10"/>
        <rFont val="Noto Sans CJK SC"/>
        <family val="2"/>
      </rPr>
      <t xml:space="preserve">家）</t>
    </r>
  </si>
  <si>
    <r>
      <rPr>
        <sz val="10"/>
        <rFont val="Noto Sans CJK SC"/>
        <family val="2"/>
      </rPr>
      <t xml:space="preserve">完整 </t>
    </r>
    <r>
      <rPr>
        <sz val="10"/>
        <rFont val="Arial"/>
        <family val="0"/>
        <charset val="1"/>
      </rPr>
      <t xml:space="preserve">8H </t>
    </r>
    <r>
      <rPr>
        <sz val="10"/>
        <rFont val="Noto Sans CJK SC"/>
        <family val="2"/>
      </rPr>
      <t xml:space="preserve">現場交付</t>
    </r>
  </si>
  <si>
    <t xml:space="preserve">顧問到府，用你們自己的資料把場景建到位</t>
  </si>
  <si>
    <r>
      <rPr>
        <sz val="10"/>
        <rFont val="Arial"/>
        <family val="0"/>
        <charset val="1"/>
      </rPr>
      <t xml:space="preserve">B </t>
    </r>
    <r>
      <rPr>
        <sz val="10"/>
        <rFont val="Noto Sans CJK SC"/>
        <family val="2"/>
      </rPr>
      <t xml:space="preserve">級</t>
    </r>
  </si>
  <si>
    <r>
      <rPr>
        <sz val="10"/>
        <rFont val="Noto Sans CJK SC"/>
        <family val="2"/>
      </rPr>
      <t xml:space="preserve">一般 </t>
    </r>
    <r>
      <rPr>
        <sz val="10"/>
        <rFont val="Arial"/>
        <family val="0"/>
        <charset val="1"/>
      </rPr>
      <t xml:space="preserve">AgentSpace </t>
    </r>
    <r>
      <rPr>
        <sz val="10"/>
        <rFont val="Noto Sans CJK SC"/>
        <family val="2"/>
      </rPr>
      <t xml:space="preserve">客戶（推估約 </t>
    </r>
    <r>
      <rPr>
        <sz val="10"/>
        <rFont val="Arial"/>
        <family val="0"/>
        <charset val="1"/>
      </rPr>
      <t xml:space="preserve">50 </t>
    </r>
    <r>
      <rPr>
        <sz val="10"/>
        <rFont val="Noto Sans CJK SC"/>
        <family val="2"/>
      </rPr>
      <t xml:space="preserve">家）</t>
    </r>
  </si>
  <si>
    <r>
      <rPr>
        <sz val="10"/>
        <rFont val="Noto Sans CJK SC"/>
        <family val="2"/>
      </rPr>
      <t xml:space="preserve">段 </t>
    </r>
    <r>
      <rPr>
        <sz val="10"/>
        <rFont val="Arial"/>
        <family val="0"/>
        <charset val="1"/>
      </rPr>
      <t xml:space="preserve">0 + 4.5H</t>
    </r>
    <r>
      <rPr>
        <sz val="10"/>
        <rFont val="Noto Sans CJK SC"/>
        <family val="2"/>
      </rPr>
      <t xml:space="preserve">（</t>
    </r>
    <r>
      <rPr>
        <sz val="10"/>
        <rFont val="Arial"/>
        <family val="0"/>
        <charset val="1"/>
      </rPr>
      <t xml:space="preserve">Day 1</t>
    </r>
    <r>
      <rPr>
        <sz val="10"/>
        <rFont val="Noto Sans CJK SC"/>
        <family val="2"/>
      </rPr>
      <t xml:space="preserve">）＋線上 </t>
    </r>
    <r>
      <rPr>
        <sz val="10"/>
        <rFont val="Arial"/>
        <family val="0"/>
        <charset val="1"/>
      </rPr>
      <t xml:space="preserve">Day 2 </t>
    </r>
    <r>
      <rPr>
        <sz val="10"/>
        <rFont val="Noto Sans CJK SC"/>
        <family val="2"/>
      </rPr>
      <t xml:space="preserve">團班（多家合班）</t>
    </r>
  </si>
  <si>
    <t xml:space="preserve">一天內就有可用的組合；第二天團班還能看到別家公司怎麼用</t>
  </si>
  <si>
    <r>
      <rPr>
        <sz val="10"/>
        <rFont val="Arial"/>
        <family val="0"/>
        <charset val="1"/>
      </rPr>
      <t xml:space="preserve">C </t>
    </r>
    <r>
      <rPr>
        <sz val="10"/>
        <rFont val="Noto Sans CJK SC"/>
        <family val="2"/>
      </rPr>
      <t xml:space="preserve">級</t>
    </r>
  </si>
  <si>
    <r>
      <rPr>
        <sz val="10"/>
        <rFont val="Noto Sans CJK SC"/>
        <family val="2"/>
      </rPr>
      <t xml:space="preserve">低單價／無專責 </t>
    </r>
    <r>
      <rPr>
        <sz val="10"/>
        <rFont val="Arial"/>
        <family val="0"/>
        <charset val="1"/>
      </rPr>
      <t xml:space="preserve">IT</t>
    </r>
    <r>
      <rPr>
        <sz val="10"/>
        <rFont val="Noto Sans CJK SC"/>
        <family val="2"/>
      </rPr>
      <t xml:space="preserve">（其餘）</t>
    </r>
  </si>
  <si>
    <r>
      <rPr>
        <sz val="10"/>
        <rFont val="Noto Sans CJK SC"/>
        <family val="2"/>
      </rPr>
      <t xml:space="preserve">段 </t>
    </r>
    <r>
      <rPr>
        <sz val="10"/>
        <rFont val="Arial"/>
        <family val="0"/>
        <charset val="1"/>
      </rPr>
      <t xml:space="preserve">0 </t>
    </r>
    <r>
      <rPr>
        <sz val="10"/>
        <rFont val="Noto Sans CJK SC"/>
        <family val="2"/>
      </rPr>
      <t xml:space="preserve">線上 ＋ 菜單佈署 ＋ 錄影課程 ＋ </t>
    </r>
    <r>
      <rPr>
        <sz val="10"/>
        <rFont val="Arial"/>
        <family val="0"/>
        <charset val="1"/>
      </rPr>
      <t xml:space="preserve">D+7 </t>
    </r>
    <r>
      <rPr>
        <sz val="10"/>
        <rFont val="Noto Sans CJK SC"/>
        <family val="2"/>
      </rPr>
      <t xml:space="preserve">線上一對一 </t>
    </r>
    <r>
      <rPr>
        <sz val="10"/>
        <rFont val="Arial"/>
        <family val="0"/>
        <charset val="1"/>
      </rPr>
      <t xml:space="preserve">30 </t>
    </r>
    <r>
      <rPr>
        <sz val="10"/>
        <rFont val="Noto Sans CJK SC"/>
        <family val="2"/>
      </rPr>
      <t xml:space="preserve">分鐘</t>
    </r>
  </si>
  <si>
    <t xml:space="preserve">不用為了教育訓練喬一整天；菜單一樣先幫你裝好，第七天還有一對一</t>
  </si>
  <si>
    <t xml:space="preserve">切分基準</t>
  </si>
  <si>
    <r>
      <rPr>
        <sz val="10"/>
        <rFont val="Noto Sans CJK SC"/>
        <family val="2"/>
      </rPr>
      <t xml:space="preserve">影片能取代 </t>
    </r>
    <r>
      <rPr>
        <sz val="10"/>
        <rFont val="Arial"/>
        <family val="0"/>
        <charset val="1"/>
      </rPr>
      <t xml:space="preserve">B </t>
    </r>
    <r>
      <rPr>
        <sz val="10"/>
        <rFont val="Noto Sans CJK SC"/>
        <family val="2"/>
      </rPr>
      <t xml:space="preserve">段與 </t>
    </r>
    <r>
      <rPr>
        <sz val="10"/>
        <rFont val="Arial"/>
        <family val="0"/>
        <charset val="1"/>
      </rPr>
      <t xml:space="preserve">C </t>
    </r>
    <r>
      <rPr>
        <sz val="10"/>
        <rFont val="Noto Sans CJK SC"/>
        <family val="2"/>
      </rPr>
      <t xml:space="preserve">段的操作教學</t>
    </r>
  </si>
  <si>
    <r>
      <rPr>
        <sz val="10"/>
        <rFont val="Noto Sans CJK SC"/>
        <family val="2"/>
      </rPr>
      <t xml:space="preserve">不能取代段 </t>
    </r>
    <r>
      <rPr>
        <sz val="10"/>
        <rFont val="Arial"/>
        <family val="0"/>
        <charset val="1"/>
      </rPr>
      <t xml:space="preserve">0</t>
    </r>
    <r>
      <rPr>
        <sz val="10"/>
        <rFont val="Noto Sans CJK SC"/>
        <family val="2"/>
      </rPr>
      <t xml:space="preserve">（要簽認）、</t>
    </r>
    <r>
      <rPr>
        <sz val="10"/>
        <rFont val="Arial"/>
        <family val="0"/>
        <charset val="1"/>
      </rPr>
      <t xml:space="preserve">D </t>
    </r>
    <r>
      <rPr>
        <sz val="10"/>
        <rFont val="Noto Sans CJK SC"/>
        <family val="2"/>
      </rPr>
      <t xml:space="preserve">段（場景精靈）、</t>
    </r>
    <r>
      <rPr>
        <sz val="10"/>
        <rFont val="Arial"/>
        <family val="0"/>
        <charset val="1"/>
      </rPr>
      <t xml:space="preserve">E </t>
    </r>
    <r>
      <rPr>
        <sz val="10"/>
        <rFont val="Noto Sans CJK SC"/>
        <family val="2"/>
      </rPr>
      <t xml:space="preserve">段（排程與點數揭露）</t>
    </r>
  </si>
  <si>
    <t xml:space="preserve">需要用你們自己內容產出的部分，不會用影片打發</t>
  </si>
  <si>
    <r>
      <rPr>
        <sz val="10"/>
        <rFont val="Noto Sans CJK SC"/>
        <family val="2"/>
      </rPr>
      <t xml:space="preserve">參與者【</t>
    </r>
    <r>
      <rPr>
        <sz val="10"/>
        <rFont val="Arial"/>
        <family val="0"/>
        <charset val="1"/>
      </rPr>
      <t xml:space="preserve">v1.4 </t>
    </r>
    <r>
      <rPr>
        <sz val="10"/>
        <rFont val="Noto Sans CJK SC"/>
        <family val="2"/>
      </rPr>
      <t xml:space="preserve">修正】</t>
    </r>
  </si>
  <si>
    <r>
      <rPr>
        <sz val="10"/>
        <rFont val="Noto Sans CJK SC"/>
        <family val="2"/>
      </rPr>
      <t xml:space="preserve">擴散組上限由 </t>
    </r>
    <r>
      <rPr>
        <sz val="10"/>
        <rFont val="Arial"/>
        <family val="0"/>
        <charset val="1"/>
      </rPr>
      <t xml:space="preserve">6 </t>
    </r>
    <r>
      <rPr>
        <sz val="10"/>
        <rFont val="Noto Sans CJK SC"/>
        <family val="2"/>
      </rPr>
      <t xml:space="preserve">人下修為 </t>
    </r>
    <r>
      <rPr>
        <sz val="10"/>
        <rFont val="Arial"/>
        <family val="0"/>
        <charset val="1"/>
      </rPr>
      <t xml:space="preserve">4 </t>
    </r>
    <r>
      <rPr>
        <sz val="10"/>
        <rFont val="Noto Sans CJK SC"/>
        <family val="2"/>
      </rPr>
      <t xml:space="preserve">人</t>
    </r>
  </si>
  <si>
    <r>
      <rPr>
        <sz val="10"/>
        <rFont val="Arial"/>
        <family val="0"/>
        <charset val="1"/>
      </rPr>
      <t xml:space="preserve">B/C/H </t>
    </r>
    <r>
      <rPr>
        <sz val="10"/>
        <rFont val="Noto Sans CJK SC"/>
        <family val="2"/>
      </rPr>
      <t xml:space="preserve">三段的時間預算是用人數少算出來的；</t>
    </r>
    <r>
      <rPr>
        <sz val="10"/>
        <rFont val="Arial"/>
        <family val="0"/>
        <charset val="1"/>
      </rPr>
      <t xml:space="preserve">8 </t>
    </r>
    <r>
      <rPr>
        <sz val="10"/>
        <rFont val="Noto Sans CJK SC"/>
        <family val="2"/>
      </rPr>
      <t xml:space="preserve">人時三段都做不到。</t>
    </r>
    <r>
      <rPr>
        <sz val="10"/>
        <rFont val="Arial"/>
        <family val="0"/>
        <charset val="1"/>
      </rPr>
      <t xml:space="preserve">5-6 </t>
    </r>
    <r>
      <rPr>
        <sz val="10"/>
        <rFont val="Noto Sans CJK SC"/>
        <family val="2"/>
      </rPr>
      <t xml:space="preserve">人須加派第二顧問（</t>
    </r>
    <r>
      <rPr>
        <sz val="10"/>
        <rFont val="Arial"/>
        <family val="0"/>
        <charset val="1"/>
      </rPr>
      <t xml:space="preserve">B/C/H </t>
    </r>
    <r>
      <rPr>
        <sz val="10"/>
        <rFont val="Noto Sans CJK SC"/>
        <family val="2"/>
      </rPr>
      <t xml:space="preserve">共 </t>
    </r>
    <r>
      <rPr>
        <sz val="10"/>
        <rFont val="Arial"/>
        <family val="0"/>
        <charset val="1"/>
      </rPr>
      <t xml:space="preserve">3H</t>
    </r>
    <r>
      <rPr>
        <sz val="10"/>
        <rFont val="Noto Sans CJK SC"/>
        <family val="2"/>
      </rPr>
      <t xml:space="preserve">）</t>
    </r>
  </si>
  <si>
    <t xml:space="preserve">擴散組只離開崗位兩小時，且顧問真的顧得過來</t>
  </si>
  <si>
    <r>
      <rPr>
        <sz val="10"/>
        <rFont val="Arial"/>
        <family val="0"/>
        <charset val="1"/>
      </rPr>
      <t xml:space="preserve">A </t>
    </r>
    <r>
      <rPr>
        <sz val="10"/>
        <rFont val="Noto Sans CJK SC"/>
        <family val="2"/>
      </rPr>
      <t xml:space="preserve">段【</t>
    </r>
    <r>
      <rPr>
        <sz val="10"/>
        <rFont val="Arial"/>
        <family val="0"/>
        <charset val="1"/>
      </rPr>
      <t xml:space="preserve">v1.4 </t>
    </r>
    <r>
      <rPr>
        <sz val="10"/>
        <rFont val="Noto Sans CJK SC"/>
        <family val="2"/>
      </rPr>
      <t xml:space="preserve">修正】</t>
    </r>
  </si>
  <si>
    <t xml:space="preserve">安裝改到交付前一個工作日、由技服完成</t>
  </si>
  <si>
    <r>
      <rPr>
        <sz val="10"/>
        <rFont val="Noto Sans CJK SC"/>
        <family val="2"/>
      </rPr>
      <t xml:space="preserve">當天只留 </t>
    </r>
    <r>
      <rPr>
        <sz val="10"/>
        <rFont val="Arial"/>
        <family val="0"/>
        <charset val="1"/>
      </rPr>
      <t xml:space="preserve">IT </t>
    </r>
    <r>
      <rPr>
        <sz val="10"/>
        <rFont val="Noto Sans CJK SC"/>
        <family val="2"/>
      </rPr>
      <t xml:space="preserve">陪同確認 </t>
    </r>
    <r>
      <rPr>
        <sz val="10"/>
        <rFont val="Arial"/>
        <family val="0"/>
        <charset val="1"/>
      </rPr>
      <t xml:space="preserve">15 </t>
    </r>
    <r>
      <rPr>
        <sz val="10"/>
        <rFont val="Noto Sans CJK SC"/>
        <family val="2"/>
      </rPr>
      <t xml:space="preserve">分鐘＋菜單佈署 </t>
    </r>
    <r>
      <rPr>
        <sz val="10"/>
        <rFont val="Arial"/>
        <family val="0"/>
        <charset val="1"/>
      </rPr>
      <t xml:space="preserve">20 </t>
    </r>
    <r>
      <rPr>
        <sz val="10"/>
        <rFont val="Noto Sans CJK SC"/>
        <family val="2"/>
      </rPr>
      <t xml:space="preserve">分鐘，省下約 </t>
    </r>
    <r>
      <rPr>
        <sz val="10"/>
        <rFont val="Arial"/>
        <family val="0"/>
        <charset val="1"/>
      </rPr>
      <t xml:space="preserve">45 </t>
    </r>
    <r>
      <rPr>
        <sz val="10"/>
        <rFont val="Noto Sans CJK SC"/>
        <family val="2"/>
      </rPr>
      <t xml:space="preserve">分鐘補給 </t>
    </r>
    <r>
      <rPr>
        <sz val="10"/>
        <rFont val="Arial"/>
        <family val="0"/>
        <charset val="1"/>
      </rPr>
      <t xml:space="preserve">C </t>
    </r>
    <r>
      <rPr>
        <sz val="10"/>
        <rFont val="Noto Sans CJK SC"/>
        <family val="2"/>
      </rPr>
      <t xml:space="preserve">段</t>
    </r>
  </si>
  <si>
    <t xml:space="preserve">安裝出狀況是常態；不會讓客戶的人坐在會議室等我們排除故障</t>
  </si>
  <si>
    <r>
      <rPr>
        <sz val="10"/>
        <rFont val="Noto Sans CJK SC"/>
        <family val="2"/>
      </rPr>
      <t xml:space="preserve">排期【</t>
    </r>
    <r>
      <rPr>
        <sz val="10"/>
        <rFont val="Arial"/>
        <family val="0"/>
        <charset val="1"/>
      </rPr>
      <t xml:space="preserve">v1.4 </t>
    </r>
    <r>
      <rPr>
        <sz val="10"/>
        <rFont val="Noto Sans CJK SC"/>
        <family val="2"/>
      </rPr>
      <t xml:space="preserve">修正】</t>
    </r>
  </si>
  <si>
    <r>
      <rPr>
        <sz val="10"/>
        <rFont val="Noto Sans CJK SC"/>
        <family val="2"/>
      </rPr>
      <t xml:space="preserve">兩天版改為標準版，單日 </t>
    </r>
    <r>
      <rPr>
        <sz val="10"/>
        <rFont val="Arial"/>
        <family val="0"/>
        <charset val="1"/>
      </rPr>
      <t xml:space="preserve">8H </t>
    </r>
    <r>
      <rPr>
        <sz val="10"/>
        <rFont val="Noto Sans CJK SC"/>
        <family val="2"/>
      </rPr>
      <t xml:space="preserve">為例外</t>
    </r>
  </si>
  <si>
    <t xml:space="preserve">製造業要湊一整天成功率低；排不進去的交付，設計再好也等於零</t>
  </si>
  <si>
    <t xml:space="preserve">兩天各半天比較好排</t>
  </si>
  <si>
    <r>
      <rPr>
        <sz val="10"/>
        <rFont val="Noto Sans CJK SC"/>
        <family val="2"/>
      </rPr>
      <t xml:space="preserve">人力【</t>
    </r>
    <r>
      <rPr>
        <sz val="10"/>
        <rFont val="Arial"/>
        <family val="0"/>
        <charset val="1"/>
      </rPr>
      <t xml:space="preserve">v1.4 </t>
    </r>
    <r>
      <rPr>
        <sz val="10"/>
        <rFont val="Noto Sans CJK SC"/>
        <family val="2"/>
      </rPr>
      <t xml:space="preserve">修正】</t>
    </r>
  </si>
  <si>
    <r>
      <rPr>
        <sz val="10"/>
        <rFont val="Noto Sans CJK SC"/>
        <family val="2"/>
      </rPr>
      <t xml:space="preserve">單家 </t>
    </r>
    <r>
      <rPr>
        <sz val="10"/>
        <rFont val="Arial"/>
        <family val="0"/>
        <charset val="1"/>
      </rPr>
      <t xml:space="preserve">5H → 14.0H</t>
    </r>
    <r>
      <rPr>
        <sz val="10"/>
        <rFont val="Noto Sans CJK SC"/>
        <family val="2"/>
      </rPr>
      <t xml:space="preserve">（行前由 </t>
    </r>
    <r>
      <rPr>
        <sz val="10"/>
        <rFont val="Arial"/>
        <family val="0"/>
        <charset val="1"/>
      </rPr>
      <t xml:space="preserve">1.5H </t>
    </r>
    <r>
      <rPr>
        <sz val="10"/>
        <rFont val="Noto Sans CJK SC"/>
        <family val="2"/>
      </rPr>
      <t xml:space="preserve">上修為 </t>
    </r>
    <r>
      <rPr>
        <sz val="10"/>
        <rFont val="Arial"/>
        <family val="0"/>
        <charset val="1"/>
      </rPr>
      <t xml:space="preserve">4.0H</t>
    </r>
    <r>
      <rPr>
        <sz val="10"/>
        <rFont val="Noto Sans CJK SC"/>
        <family val="2"/>
      </rPr>
      <t xml:space="preserve">；擴散 </t>
    </r>
    <r>
      <rPr>
        <sz val="10"/>
        <rFont val="Arial"/>
        <family val="0"/>
        <charset val="1"/>
      </rPr>
      <t xml:space="preserve">5-6 </t>
    </r>
    <r>
      <rPr>
        <sz val="10"/>
        <rFont val="Noto Sans CJK SC"/>
        <family val="2"/>
      </rPr>
      <t xml:space="preserve">人時另 </t>
    </r>
    <r>
      <rPr>
        <sz val="10"/>
        <rFont val="Arial"/>
        <family val="0"/>
        <charset val="1"/>
      </rPr>
      <t xml:space="preserve">+3H </t>
    </r>
    <r>
      <rPr>
        <sz val="10"/>
        <rFont val="Noto Sans CJK SC"/>
        <family val="2"/>
      </rPr>
      <t xml:space="preserve">第二顧問）</t>
    </r>
  </si>
  <si>
    <r>
      <rPr>
        <sz val="10"/>
        <rFont val="Arial"/>
        <family val="0"/>
        <charset val="1"/>
      </rPr>
      <t xml:space="preserve">105 </t>
    </r>
    <r>
      <rPr>
        <sz val="10"/>
        <rFont val="Noto Sans CJK SC"/>
        <family val="2"/>
      </rPr>
      <t xml:space="preserve">家全面推行約需 </t>
    </r>
    <r>
      <rPr>
        <sz val="10"/>
        <rFont val="Arial"/>
        <family val="0"/>
        <charset val="1"/>
      </rPr>
      <t xml:space="preserve">945 </t>
    </r>
    <r>
      <rPr>
        <sz val="10"/>
        <rFont val="Noto Sans CJK SC"/>
        <family val="2"/>
      </rPr>
      <t xml:space="preserve">額外人時，明顯超出現行編制</t>
    </r>
  </si>
  <si>
    <r>
      <rPr>
        <sz val="10"/>
        <rFont val="Noto Sans CJK SC"/>
        <family val="2"/>
      </rPr>
      <t xml:space="preserve">段 </t>
    </r>
    <r>
      <rPr>
        <sz val="10"/>
        <rFont val="Arial"/>
        <family val="0"/>
        <charset val="1"/>
      </rPr>
      <t xml:space="preserve">0 </t>
    </r>
    <r>
      <rPr>
        <sz val="10"/>
        <rFont val="Noto Sans CJK SC"/>
        <family val="2"/>
      </rPr>
      <t xml:space="preserve">不分級：不管買多少，資料落地與環境交付的說明一份都不會少</t>
    </r>
  </si>
  <si>
    <r>
      <rPr>
        <b val="true"/>
        <sz val="10"/>
        <rFont val="Noto Sans CJK SC"/>
        <family val="2"/>
      </rPr>
      <t xml:space="preserve">三、待確認事項（</t>
    </r>
    <r>
      <rPr>
        <b val="true"/>
        <sz val="10"/>
        <rFont val="Arial"/>
        <family val="0"/>
        <charset val="1"/>
      </rPr>
      <t xml:space="preserve">#7</t>
    </r>
    <r>
      <rPr>
        <b val="true"/>
        <sz val="10"/>
        <rFont val="Noto Sans CJK SC"/>
        <family val="2"/>
      </rPr>
      <t xml:space="preserve">～</t>
    </r>
    <r>
      <rPr>
        <b val="true"/>
        <sz val="10"/>
        <rFont val="Arial"/>
        <family val="0"/>
        <charset val="1"/>
      </rPr>
      <t xml:space="preserve">#11 </t>
    </r>
    <r>
      <rPr>
        <b val="true"/>
        <sz val="10"/>
        <rFont val="Noto Sans CJK SC"/>
        <family val="2"/>
      </rPr>
      <t xml:space="preserve">為 </t>
    </r>
    <r>
      <rPr>
        <b val="true"/>
        <sz val="10"/>
        <rFont val="Arial"/>
        <family val="0"/>
        <charset val="1"/>
      </rPr>
      <t xml:space="preserve">v1.1 </t>
    </r>
    <r>
      <rPr>
        <b val="true"/>
        <sz val="10"/>
        <rFont val="Noto Sans CJK SC"/>
        <family val="2"/>
      </rPr>
      <t xml:space="preserve">新增，建議先取得答案再排試跑）</t>
    </r>
  </si>
  <si>
    <t xml:space="preserve">事項</t>
  </si>
  <si>
    <t xml:space="preserve">待確認對象</t>
  </si>
  <si>
    <t xml:space="preserve">後台是否能撈「人均對話次數」「排程執行成功率」「排程產出開啟率」「自建技能數」</t>
  </si>
  <si>
    <t xml:space="preserve">udrih</t>
  </si>
  <si>
    <r>
      <rPr>
        <sz val="10"/>
        <rFont val="Arial"/>
        <family val="0"/>
        <charset val="1"/>
      </rPr>
      <t xml:space="preserve">D+30</t>
    </r>
    <r>
      <rPr>
        <sz val="10"/>
        <rFont val="Noto Sans CJK SC"/>
        <family val="2"/>
      </rPr>
      <t xml:space="preserve">「月用量 </t>
    </r>
    <r>
      <rPr>
        <sz val="10"/>
        <rFont val="Arial"/>
        <family val="0"/>
        <charset val="1"/>
      </rPr>
      <t xml:space="preserve">÷ </t>
    </r>
    <r>
      <rPr>
        <sz val="10"/>
        <rFont val="Noto Sans CJK SC"/>
        <family val="2"/>
      </rPr>
      <t xml:space="preserve">訂閱點數」目標比例；訂閱制</t>
    </r>
    <r>
      <rPr>
        <sz val="10"/>
        <rFont val="Arial"/>
        <family val="0"/>
        <charset val="1"/>
      </rPr>
      <t xml:space="preserve">/</t>
    </r>
    <r>
      <rPr>
        <sz val="10"/>
        <rFont val="Noto Sans CJK SC"/>
        <family val="2"/>
      </rPr>
      <t xml:space="preserve">買斷制口徑尚未定版</t>
    </r>
  </si>
  <si>
    <t xml:space="preserve">待訂</t>
  </si>
  <si>
    <r>
      <rPr>
        <sz val="10"/>
        <rFont val="Arial"/>
        <family val="0"/>
        <charset val="1"/>
      </rPr>
      <t xml:space="preserve">A/B/C </t>
    </r>
    <r>
      <rPr>
        <sz val="10"/>
        <rFont val="Noto Sans CJK SC"/>
        <family val="2"/>
      </rPr>
      <t xml:space="preserve">分級的家數與判準</t>
    </r>
  </si>
  <si>
    <t xml:space="preserve">業務部門／廖瑞騰</t>
  </si>
  <si>
    <r>
      <rPr>
        <sz val="10"/>
        <rFont val="Arial"/>
        <family val="0"/>
        <charset val="1"/>
      </rPr>
      <t xml:space="preserve">8H </t>
    </r>
    <r>
      <rPr>
        <sz val="10"/>
        <rFont val="Noto Sans CJK SC"/>
        <family val="2"/>
      </rPr>
      <t xml:space="preserve">版交付計價是否調整（單家 </t>
    </r>
    <r>
      <rPr>
        <sz val="10"/>
        <rFont val="Arial"/>
        <family val="0"/>
        <charset val="1"/>
      </rPr>
      <t xml:space="preserve">5H→11.5H</t>
    </r>
    <r>
      <rPr>
        <sz val="10"/>
        <rFont val="Noto Sans CJK SC"/>
        <family val="2"/>
      </rPr>
      <t xml:space="preserve">）</t>
    </r>
  </si>
  <si>
    <t xml:space="preserve">昱凱／業務</t>
  </si>
  <si>
    <t xml:space="preserve">場景精靈技能由誰開發</t>
  </si>
  <si>
    <r>
      <rPr>
        <sz val="10"/>
        <rFont val="Arial"/>
        <family val="0"/>
        <charset val="1"/>
      </rPr>
      <t xml:space="preserve">BQ53B0</t>
    </r>
    <r>
      <rPr>
        <sz val="10"/>
        <rFont val="Noto Sans CJK SC"/>
        <family val="2"/>
      </rPr>
      <t xml:space="preserve">／產品</t>
    </r>
  </si>
  <si>
    <r>
      <rPr>
        <sz val="10"/>
        <rFont val="Noto Sans CJK SC"/>
        <family val="2"/>
      </rPr>
      <t xml:space="preserve">交付人數分層（核心 </t>
    </r>
    <r>
      <rPr>
        <sz val="10"/>
        <rFont val="Arial"/>
        <family val="0"/>
        <charset val="1"/>
      </rPr>
      <t xml:space="preserve">2</t>
    </r>
    <r>
      <rPr>
        <sz val="10"/>
        <rFont val="Noto Sans CJK SC"/>
        <family val="2"/>
      </rPr>
      <t xml:space="preserve">＋擴散 </t>
    </r>
    <r>
      <rPr>
        <sz val="10"/>
        <rFont val="Arial"/>
        <family val="0"/>
        <charset val="1"/>
      </rPr>
      <t xml:space="preserve">4-6</t>
    </r>
    <r>
      <rPr>
        <sz val="10"/>
        <rFont val="Noto Sans CJK SC"/>
        <family val="2"/>
      </rPr>
      <t xml:space="preserve">）是否可行</t>
    </r>
  </si>
  <si>
    <r>
      <rPr>
        <sz val="10"/>
        <rFont val="Arial"/>
        <family val="0"/>
        <charset val="1"/>
      </rPr>
      <t xml:space="preserve">ERP </t>
    </r>
    <r>
      <rPr>
        <sz val="10"/>
        <rFont val="Noto Sans CJK SC"/>
        <family val="2"/>
      </rPr>
      <t xml:space="preserve">操作問答的技術可行性：能否掛鼎新 </t>
    </r>
    <r>
      <rPr>
        <sz val="10"/>
        <rFont val="Arial"/>
        <family val="0"/>
        <charset val="1"/>
      </rPr>
      <t xml:space="preserve">ERP </t>
    </r>
    <r>
      <rPr>
        <sz val="10"/>
        <rFont val="Noto Sans CJK SC"/>
        <family val="2"/>
      </rPr>
      <t xml:space="preserve">手冊＋客戶客製說明；授權與內容範圍如何界定</t>
    </r>
  </si>
  <si>
    <r>
      <rPr>
        <sz val="10"/>
        <rFont val="Arial"/>
        <family val="0"/>
        <charset val="1"/>
      </rPr>
      <t xml:space="preserve">BQ53B0</t>
    </r>
    <r>
      <rPr>
        <sz val="10"/>
        <rFont val="Noto Sans CJK SC"/>
        <family val="2"/>
      </rPr>
      <t xml:space="preserve">／產品／</t>
    </r>
    <r>
      <rPr>
        <sz val="10"/>
        <rFont val="Arial"/>
        <family val="0"/>
        <charset val="1"/>
      </rPr>
      <t xml:space="preserve">ERP </t>
    </r>
    <r>
      <rPr>
        <sz val="10"/>
        <rFont val="Noto Sans CJK SC"/>
        <family val="2"/>
      </rPr>
      <t xml:space="preserve">事業</t>
    </r>
  </si>
  <si>
    <r>
      <rPr>
        <sz val="10"/>
        <rFont val="Noto Sans CJK SC"/>
        <family val="2"/>
      </rPr>
      <t xml:space="preserve">平台是否支援「場景卡一鍵叫用／改參數重跑／分享給同部門」；不支援則 </t>
    </r>
    <r>
      <rPr>
        <sz val="10"/>
        <rFont val="Arial"/>
        <family val="0"/>
        <charset val="1"/>
      </rPr>
      <t xml:space="preserve">D </t>
    </r>
    <r>
      <rPr>
        <sz val="10"/>
        <rFont val="Noto Sans CJK SC"/>
        <family val="2"/>
      </rPr>
      <t xml:space="preserve">段由 </t>
    </r>
    <r>
      <rPr>
        <sz val="10"/>
        <rFont val="Arial"/>
        <family val="0"/>
        <charset val="1"/>
      </rPr>
      <t xml:space="preserve">1.25H </t>
    </r>
    <r>
      <rPr>
        <sz val="10"/>
        <rFont val="Noto Sans CJK SC"/>
        <family val="2"/>
      </rPr>
      <t xml:space="preserve">縮為 </t>
    </r>
    <r>
      <rPr>
        <sz val="10"/>
        <rFont val="Arial"/>
        <family val="0"/>
        <charset val="1"/>
      </rPr>
      <t xml:space="preserve">0.5H</t>
    </r>
  </si>
  <si>
    <t xml:space="preserve">產品</t>
  </si>
  <si>
    <r>
      <rPr>
        <sz val="10"/>
        <rFont val="Noto Sans CJK SC"/>
        <family val="2"/>
      </rPr>
      <t xml:space="preserve">資料管制的技術能力：上傳阻擋、稽核 </t>
    </r>
    <r>
      <rPr>
        <sz val="10"/>
        <rFont val="Arial"/>
        <family val="0"/>
        <charset val="1"/>
      </rPr>
      <t xml:space="preserve">log</t>
    </r>
    <r>
      <rPr>
        <sz val="10"/>
        <rFont val="Noto Sans CJK SC"/>
        <family val="2"/>
      </rPr>
      <t xml:space="preserve">、</t>
    </r>
    <r>
      <rPr>
        <sz val="10"/>
        <rFont val="Arial"/>
        <family val="0"/>
        <charset val="1"/>
      </rPr>
      <t xml:space="preserve">log </t>
    </r>
    <r>
      <rPr>
        <sz val="10"/>
        <rFont val="Noto Sans CJK SC"/>
        <family val="2"/>
      </rPr>
      <t xml:space="preserve">保留期限、客戶可否自行調閱</t>
    </r>
  </si>
  <si>
    <r>
      <rPr>
        <sz val="10"/>
        <rFont val="Noto Sans CJK SC"/>
        <family val="2"/>
      </rPr>
      <t xml:space="preserve">產品／</t>
    </r>
    <r>
      <rPr>
        <sz val="10"/>
        <rFont val="Arial"/>
        <family val="0"/>
        <charset val="1"/>
      </rPr>
      <t xml:space="preserve">BQ53B0</t>
    </r>
  </si>
  <si>
    <r>
      <rPr>
        <sz val="10"/>
        <rFont val="Noto Sans CJK SC"/>
        <family val="2"/>
      </rPr>
      <t xml:space="preserve">平台能否顯示每個排程的預估與實際點數消耗（</t>
    </r>
    <r>
      <rPr>
        <sz val="10"/>
        <rFont val="Arial"/>
        <family val="0"/>
        <charset val="1"/>
      </rPr>
      <t xml:space="preserve">P5 </t>
    </r>
    <r>
      <rPr>
        <sz val="10"/>
        <rFont val="Noto Sans CJK SC"/>
        <family val="2"/>
      </rPr>
      <t xml:space="preserve">落地前提）</t>
    </r>
  </si>
  <si>
    <r>
      <rPr>
        <sz val="10"/>
        <rFont val="Noto Sans CJK SC"/>
        <family val="2"/>
      </rPr>
      <t xml:space="preserve">產品／</t>
    </r>
    <r>
      <rPr>
        <sz val="10"/>
        <rFont val="Arial"/>
        <family val="0"/>
        <charset val="1"/>
      </rPr>
      <t xml:space="preserve">udrih</t>
    </r>
  </si>
  <si>
    <t xml:space="preserve">排程讀信箱的技術細節：連線帳號類型、憑證儲存位置、主機失竊影響範圍</t>
  </si>
  <si>
    <t xml:space="preserve">驗收與付款脫鉤的合約條文寫法</t>
  </si>
  <si>
    <t xml:space="preserve">業務／法務</t>
  </si>
  <si>
    <r>
      <rPr>
        <b val="true"/>
        <sz val="10"/>
        <color rgb="FFC00000"/>
        <rFont val="Noto Sans CJK SC"/>
        <family val="2"/>
      </rPr>
      <t xml:space="preserve">⚠️ 本表所有目標值（</t>
    </r>
    <r>
      <rPr>
        <b val="true"/>
        <sz val="10"/>
        <color rgb="FFC00000"/>
        <rFont val="Arial"/>
        <family val="0"/>
        <charset val="1"/>
      </rPr>
      <t xml:space="preserve">70%</t>
    </r>
    <r>
      <rPr>
        <b val="true"/>
        <sz val="10"/>
        <color rgb="FFC00000"/>
        <rFont val="Noto Sans CJK SC"/>
        <family val="2"/>
      </rPr>
      <t xml:space="preserve">／</t>
    </r>
    <r>
      <rPr>
        <b val="true"/>
        <sz val="10"/>
        <color rgb="FFC00000"/>
        <rFont val="Arial"/>
        <family val="0"/>
        <charset val="1"/>
      </rPr>
      <t xml:space="preserve">10 </t>
    </r>
    <r>
      <rPr>
        <b val="true"/>
        <sz val="10"/>
        <color rgb="FFC00000"/>
        <rFont val="Noto Sans CJK SC"/>
        <family val="2"/>
      </rPr>
      <t xml:space="preserve">次／</t>
    </r>
    <r>
      <rPr>
        <b val="true"/>
        <sz val="10"/>
        <color rgb="FFC00000"/>
        <rFont val="Arial"/>
        <family val="0"/>
        <charset val="1"/>
      </rPr>
      <t xml:space="preserve">90%</t>
    </r>
    <r>
      <rPr>
        <b val="true"/>
        <sz val="10"/>
        <color rgb="FFC00000"/>
        <rFont val="Noto Sans CJK SC"/>
        <family val="2"/>
      </rPr>
      <t xml:space="preserve">／</t>
    </r>
    <r>
      <rPr>
        <b val="true"/>
        <sz val="10"/>
        <color rgb="FFC00000"/>
        <rFont val="Arial"/>
        <family val="0"/>
        <charset val="1"/>
      </rPr>
      <t xml:space="preserve">50% </t>
    </r>
    <r>
      <rPr>
        <b val="true"/>
        <sz val="10"/>
        <color rgb="FFC00000"/>
        <rFont val="Noto Sans CJK SC"/>
        <family val="2"/>
      </rPr>
      <t xml:space="preserve">等）與各卡的每月預估點數，皆為設計建議值，尚未經實測校準。建議先在 </t>
    </r>
    <r>
      <rPr>
        <b val="true"/>
        <sz val="10"/>
        <color rgb="FFC00000"/>
        <rFont val="Arial"/>
        <family val="0"/>
        <charset val="1"/>
      </rPr>
      <t xml:space="preserve">1-2 </t>
    </r>
    <r>
      <rPr>
        <b val="true"/>
        <sz val="10"/>
        <color rgb="FFC00000"/>
        <rFont val="Noto Sans CJK SC"/>
        <family val="2"/>
      </rPr>
      <t xml:space="preserve">家 </t>
    </r>
    <r>
      <rPr>
        <b val="true"/>
        <sz val="10"/>
        <color rgb="FFC00000"/>
        <rFont val="Arial"/>
        <family val="0"/>
        <charset val="1"/>
      </rPr>
      <t xml:space="preserve">A </t>
    </r>
    <r>
      <rPr>
        <b val="true"/>
        <sz val="10"/>
        <color rgb="FFC00000"/>
        <rFont val="Noto Sans CJK SC"/>
        <family val="2"/>
      </rPr>
      <t xml:space="preserve">級製造業客戶試跑取得基線後再定版。</t>
    </r>
  </si>
  <si>
    <r>
      <rPr>
        <b val="true"/>
        <sz val="10"/>
        <color rgb="FFC00000"/>
        <rFont val="Noto Sans CJK SC"/>
        <family val="2"/>
      </rPr>
      <t xml:space="preserve">⚠️ 待確認 </t>
    </r>
    <r>
      <rPr>
        <b val="true"/>
        <sz val="10"/>
        <color rgb="FFC00000"/>
        <rFont val="Arial"/>
        <family val="0"/>
        <charset val="1"/>
      </rPr>
      <t xml:space="preserve">#7</t>
    </r>
    <r>
      <rPr>
        <b val="true"/>
        <sz val="10"/>
        <color rgb="FFC00000"/>
        <rFont val="Noto Sans CJK SC"/>
        <family val="2"/>
      </rPr>
      <t xml:space="preserve">（</t>
    </r>
    <r>
      <rPr>
        <b val="true"/>
        <sz val="10"/>
        <color rgb="FFC00000"/>
        <rFont val="Arial"/>
        <family val="0"/>
        <charset val="1"/>
      </rPr>
      <t xml:space="preserve">ERP </t>
    </r>
    <r>
      <rPr>
        <b val="true"/>
        <sz val="10"/>
        <color rgb="FFC00000"/>
        <rFont val="Noto Sans CJK SC"/>
        <family val="2"/>
      </rPr>
      <t xml:space="preserve">問答可行性）是 </t>
    </r>
    <r>
      <rPr>
        <b val="true"/>
        <sz val="10"/>
        <color rgb="FFC00000"/>
        <rFont val="Arial"/>
        <family val="0"/>
        <charset val="1"/>
      </rPr>
      <t xml:space="preserve">P0 </t>
    </r>
    <r>
      <rPr>
        <b val="true"/>
        <sz val="10"/>
        <color rgb="FFC00000"/>
        <rFont val="Noto Sans CJK SC"/>
        <family val="2"/>
      </rPr>
      <t xml:space="preserve">原則的具體答案。若做不到，製造業窗口的動機問題無解，整份方案須重新檢討。</t>
    </r>
  </si>
  <si>
    <r>
      <rPr>
        <sz val="9"/>
        <color rgb="FF808080"/>
        <rFont val="Noto Sans CJK SC"/>
        <family val="2"/>
      </rPr>
      <t xml:space="preserve">資料來源：</t>
    </r>
    <r>
      <rPr>
        <sz val="9"/>
        <color rgb="FF808080"/>
        <rFont val="Arial"/>
        <family val="0"/>
        <charset val="1"/>
      </rPr>
      <t xml:space="preserve">udrih 2026-09-02 </t>
    </r>
    <r>
      <rPr>
        <sz val="9"/>
        <color rgb="FF808080"/>
        <rFont val="Noto Sans CJK SC"/>
        <family val="2"/>
      </rPr>
      <t xml:space="preserve">信件〈</t>
    </r>
    <r>
      <rPr>
        <sz val="9"/>
        <color rgb="FF808080"/>
        <rFont val="Arial"/>
        <family val="0"/>
        <charset val="1"/>
      </rPr>
      <t xml:space="preserve">agent space</t>
    </r>
    <r>
      <rPr>
        <sz val="9"/>
        <color rgb="FF808080"/>
        <rFont val="Noto Sans CJK SC"/>
        <family val="2"/>
      </rPr>
      <t xml:space="preserve">交付資訊及用量統計〉；</t>
    </r>
    <r>
      <rPr>
        <sz val="9"/>
        <color rgb="FF808080"/>
        <rFont val="Arial"/>
        <family val="0"/>
        <charset val="1"/>
      </rPr>
      <t xml:space="preserve">2026-09-02 Ian huang </t>
    </r>
    <r>
      <rPr>
        <sz val="9"/>
        <color rgb="FF808080"/>
        <rFont val="Noto Sans CJK SC"/>
        <family val="2"/>
      </rPr>
      <t xml:space="preserve">對話；</t>
    </r>
    <r>
      <rPr>
        <sz val="9"/>
        <color rgb="FF808080"/>
        <rFont val="Arial"/>
        <family val="0"/>
        <charset val="1"/>
      </rPr>
      <t xml:space="preserve">AgentSpace</t>
    </r>
    <r>
      <rPr>
        <sz val="9"/>
        <color rgb="FF808080"/>
        <rFont val="Noto Sans CJK SC"/>
        <family val="2"/>
      </rPr>
      <t xml:space="preserve">交付方案</t>
    </r>
    <r>
      <rPr>
        <sz val="9"/>
        <color rgb="FF808080"/>
        <rFont val="Arial"/>
        <family val="0"/>
        <charset val="1"/>
      </rPr>
      <t xml:space="preserve">_</t>
    </r>
    <r>
      <rPr>
        <sz val="9"/>
        <color rgb="FF808080"/>
        <rFont val="Noto Sans CJK SC"/>
        <family val="2"/>
      </rPr>
      <t xml:space="preserve">製造業</t>
    </r>
    <r>
      <rPr>
        <sz val="9"/>
        <color rgb="FF808080"/>
        <rFont val="Arial"/>
        <family val="0"/>
        <charset val="1"/>
      </rPr>
      <t xml:space="preserve">IT</t>
    </r>
    <r>
      <rPr>
        <sz val="9"/>
        <color rgb="FF808080"/>
        <rFont val="Noto Sans CJK SC"/>
        <family val="2"/>
      </rPr>
      <t xml:space="preserve">視角評估</t>
    </r>
    <r>
      <rPr>
        <sz val="9"/>
        <color rgb="FF808080"/>
        <rFont val="Arial"/>
        <family val="0"/>
        <charset val="1"/>
      </rPr>
      <t xml:space="preserve">_20260908.md</t>
    </r>
    <r>
      <rPr>
        <sz val="9"/>
        <color rgb="FF808080"/>
        <rFont val="Noto Sans CJK SC"/>
        <family val="2"/>
      </rPr>
      <t xml:space="preserve">。</t>
    </r>
  </si>
  <si>
    <t xml:space="preserve">一頁式：客戶為什麼要花這八小時（業務與交付顧問的話術底稿）</t>
  </si>
  <si>
    <t xml:space="preserve">跟客戶談交付時，先講這七句，再講流程。</t>
  </si>
  <si>
    <t xml:space="preserve">客戶的疑問</t>
  </si>
  <si>
    <t xml:space="preserve">一句話回答</t>
  </si>
  <si>
    <t xml:space="preserve">「八小時？我哪來這麼多人可以離開崗位？」</t>
  </si>
  <si>
    <t xml:space="preserve">只有兩個人要待一整天，其他人兩小時，主管半小時。而且可以拆成兩天。</t>
  </si>
  <si>
    <t xml:space="preserve">「我的資料會不會外流？」</t>
  </si>
  <si>
    <t xml:space="preserve">交付第一件事就是給你一份可以拿去給稽核看的資料落地與管制說明，當場簽認。</t>
  </si>
  <si>
    <t xml:space="preserve">「這台機器誰負責？壞了找誰？」</t>
  </si>
  <si>
    <r>
      <rPr>
        <sz val="10"/>
        <rFont val="Noto Sans CJK SC"/>
        <family val="2"/>
      </rPr>
      <t xml:space="preserve">《環境交付規格書》十四項逐條寫清楚，含故障窗口與回應時間，</t>
    </r>
    <r>
      <rPr>
        <sz val="10"/>
        <rFont val="Arial"/>
        <family val="0"/>
        <charset val="1"/>
      </rPr>
      <t xml:space="preserve">IT </t>
    </r>
    <r>
      <rPr>
        <sz val="10"/>
        <rFont val="Noto Sans CJK SC"/>
        <family val="2"/>
      </rPr>
      <t xml:space="preserve">全程在場看著裝。</t>
    </r>
  </si>
  <si>
    <t xml:space="preserve">「我們公司又不是每天寫報告，用得到嗎？」</t>
  </si>
  <si>
    <r>
      <rPr>
        <sz val="10"/>
        <rFont val="Noto Sans CJK SC"/>
        <family val="2"/>
      </rPr>
      <t xml:space="preserve">菜單裡有專門給製造業資訊課的六張卡，第一張就是 </t>
    </r>
    <r>
      <rPr>
        <sz val="10"/>
        <rFont val="Arial"/>
        <family val="0"/>
        <charset val="1"/>
      </rPr>
      <t xml:space="preserve">ERP </t>
    </r>
    <r>
      <rPr>
        <sz val="10"/>
        <rFont val="Noto Sans CJK SC"/>
        <family val="2"/>
      </rPr>
      <t xml:space="preserve">操作問答——同事自己查得到，你一天少接十通電話。</t>
    </r>
  </si>
  <si>
    <t xml:space="preserve">「我不會下指令，學得會嗎？」</t>
  </si>
  <si>
    <t xml:space="preserve">不用學。菜單上每張卡都寫好了，你只改一到兩個參數；想做自己的用法，回答五個問題就生一張新卡。</t>
  </si>
  <si>
    <t xml:space="preserve">「這些自動排程會不會一直偷燒我的點數？」</t>
  </si>
  <si>
    <t xml:space="preserve">每個排程當場算給你看一個月花多少點，也當場教你怎麼關；第七天我們主動寄「花了多少、你開了幾次」，沒在看的建議你關掉。</t>
  </si>
  <si>
    <t xml:space="preserve">「交付完你們就不見了吧？」</t>
  </si>
  <si>
    <r>
      <rPr>
        <sz val="10"/>
        <rFont val="Noto Sans CJK SC"/>
        <family val="2"/>
      </rPr>
      <t xml:space="preserve">第 </t>
    </r>
    <r>
      <rPr>
        <sz val="10"/>
        <rFont val="Arial"/>
        <family val="0"/>
        <charset val="1"/>
      </rPr>
      <t xml:space="preserve">7</t>
    </r>
    <r>
      <rPr>
        <sz val="10"/>
        <rFont val="Noto Sans CJK SC"/>
        <family val="2"/>
      </rPr>
      <t xml:space="preserve">、</t>
    </r>
    <r>
      <rPr>
        <sz val="10"/>
        <rFont val="Arial"/>
        <family val="0"/>
        <charset val="1"/>
      </rPr>
      <t xml:space="preserve">14</t>
    </r>
    <r>
      <rPr>
        <sz val="10"/>
        <rFont val="Noto Sans CJK SC"/>
        <family val="2"/>
      </rPr>
      <t xml:space="preserve">、</t>
    </r>
    <r>
      <rPr>
        <sz val="10"/>
        <rFont val="Arial"/>
        <family val="0"/>
        <charset val="1"/>
      </rPr>
      <t xml:space="preserve">30 </t>
    </r>
    <r>
      <rPr>
        <sz val="10"/>
        <rFont val="Noto Sans CJK SC"/>
        <family val="2"/>
      </rPr>
      <t xml:space="preserve">天各追一次，沒學會的免費再教一次（不綁尾款）；之後每個月有新用法與點數效益月報。</t>
    </r>
  </si>
  <si>
    <t xml:space="preserve">給老闆聽的一句話總結</t>
  </si>
  <si>
    <t xml:space="preserve">這八小時的目的不是教你們操作一套系統，是讓每個人帶著兩三個明天早上還會再用一次的做法離開，而且資料怎麼管、機器誰負責、點數花在哪，全部白紙黑字交代清楚。</t>
  </si>
  <si>
    <t xml:space="preserve">節點作業指引：每個節點逐步要做什麼、依據什麼資料、卡關怎麼辦</t>
  </si>
  <si>
    <t xml:space="preserve">本頁是交付顧問現場照著跑的腳本。「依據資料」＝執行這一步要先拿到什麼；「卡關時」＝現場拿不到時的替代做法（不得因此停擺）。</t>
  </si>
  <si>
    <t xml:space="preserve">節點</t>
  </si>
  <si>
    <t xml:space="preserve">具體動作（照順序做）</t>
  </si>
  <si>
    <t xml:space="preserve">依據資料／來源</t>
  </si>
  <si>
    <t xml:space="preserve">產出</t>
  </si>
  <si>
    <t xml:space="preserve">卡關時怎麼辦</t>
  </si>
  <si>
    <r>
      <rPr>
        <b val="true"/>
        <sz val="10"/>
        <rFont val="Noto Sans CJK SC"/>
        <family val="2"/>
      </rPr>
      <t xml:space="preserve">行前 </t>
    </r>
    <r>
      <rPr>
        <b val="true"/>
        <sz val="10"/>
        <rFont val="Arial"/>
        <family val="0"/>
        <charset val="1"/>
      </rPr>
      <t xml:space="preserve">T-5</t>
    </r>
  </si>
  <si>
    <t xml:space="preserve">1</t>
  </si>
  <si>
    <t xml:space="preserve">從訂單／報價單抓出客戶買了哪些品號、幾套、是否含資安專家分身</t>
  </si>
  <si>
    <t xml:space="preserve">出貨單、訂購單（業務提供）</t>
  </si>
  <si>
    <t xml:space="preserve">客戶購買明細一頁</t>
  </si>
  <si>
    <r>
      <rPr>
        <sz val="10"/>
        <rFont val="Noto Sans CJK SC"/>
        <family val="2"/>
      </rPr>
      <t xml:space="preserve">業務找不到單→查 </t>
    </r>
    <r>
      <rPr>
        <sz val="10"/>
        <rFont val="Arial"/>
        <family val="0"/>
        <charset val="1"/>
      </rPr>
      <t xml:space="preserve">AgentSpace </t>
    </r>
    <r>
      <rPr>
        <sz val="10"/>
        <rFont val="Noto Sans CJK SC"/>
        <family val="2"/>
      </rPr>
      <t xml:space="preserve">分身專家品號彙總表</t>
    </r>
  </si>
  <si>
    <t xml:space="preserve">2</t>
  </si>
  <si>
    <r>
      <rPr>
        <sz val="10"/>
        <rFont val="Noto Sans CJK SC"/>
        <family val="2"/>
      </rPr>
      <t xml:space="preserve">查客戶 </t>
    </r>
    <r>
      <rPr>
        <sz val="10"/>
        <rFont val="Arial"/>
        <family val="0"/>
        <charset val="1"/>
      </rPr>
      <t xml:space="preserve">ERP </t>
    </r>
    <r>
      <rPr>
        <sz val="10"/>
        <rFont val="Noto Sans CJK SC"/>
        <family val="2"/>
      </rPr>
      <t xml:space="preserve">模組與版本、員工人數與部門</t>
    </r>
  </si>
  <si>
    <r>
      <rPr>
        <sz val="10"/>
        <rFont val="Arial"/>
        <family val="0"/>
        <charset val="1"/>
      </rPr>
      <t xml:space="preserve">ERP </t>
    </r>
    <r>
      <rPr>
        <sz val="10"/>
        <rFont val="Noto Sans CJK SC"/>
        <family val="2"/>
      </rPr>
      <t xml:space="preserve">客戶主檔／</t>
    </r>
    <r>
      <rPr>
        <sz val="10"/>
        <rFont val="Arial"/>
        <family val="0"/>
        <charset val="1"/>
      </rPr>
      <t xml:space="preserve">CRM</t>
    </r>
    <r>
      <rPr>
        <sz val="10"/>
        <rFont val="Noto Sans CJK SC"/>
        <family val="2"/>
      </rPr>
      <t xml:space="preserve">／業務口述</t>
    </r>
  </si>
  <si>
    <t xml:space="preserve">客戶基本資料表</t>
  </si>
  <si>
    <r>
      <rPr>
        <sz val="10"/>
        <rFont val="Noto Sans CJK SC"/>
        <family val="2"/>
      </rPr>
      <t xml:space="preserve">查不到就電話問窗口 </t>
    </r>
    <r>
      <rPr>
        <sz val="10"/>
        <rFont val="Arial"/>
        <family val="0"/>
        <charset val="1"/>
      </rPr>
      <t xml:space="preserve">5 </t>
    </r>
    <r>
      <rPr>
        <sz val="10"/>
        <rFont val="Noto Sans CJK SC"/>
        <family val="2"/>
      </rPr>
      <t xml:space="preserve">分鐘</t>
    </r>
  </si>
  <si>
    <t xml:space="preserve">3</t>
  </si>
  <si>
    <r>
      <rPr>
        <sz val="10"/>
        <rFont val="Noto Sans CJK SC"/>
        <family val="2"/>
      </rPr>
      <t xml:space="preserve">依上兩步＋《場景庫》總表，勾出 </t>
    </r>
    <r>
      <rPr>
        <sz val="10"/>
        <rFont val="Arial"/>
        <family val="0"/>
        <charset val="1"/>
      </rPr>
      <t xml:space="preserve">6-8 </t>
    </r>
    <r>
      <rPr>
        <sz val="10"/>
        <rFont val="Noto Sans CJK SC"/>
        <family val="2"/>
      </rPr>
      <t xml:space="preserve">個候選場景，做成勾選單寄客戶</t>
    </r>
  </si>
  <si>
    <r>
      <rPr>
        <sz val="10"/>
        <rFont val="Noto Sans CJK SC"/>
        <family val="2"/>
      </rPr>
      <t xml:space="preserve">《場景庫》整體規劃總表、附錄 </t>
    </r>
    <r>
      <rPr>
        <sz val="10"/>
        <rFont val="Arial"/>
        <family val="0"/>
        <charset val="1"/>
      </rPr>
      <t xml:space="preserve">B </t>
    </r>
    <r>
      <rPr>
        <sz val="10"/>
        <rFont val="Noto Sans CJK SC"/>
        <family val="2"/>
      </rPr>
      <t xml:space="preserve">推薦組合</t>
    </r>
  </si>
  <si>
    <r>
      <rPr>
        <sz val="10"/>
        <rFont val="Noto Sans CJK SC"/>
        <family val="2"/>
      </rPr>
      <t xml:space="preserve">《客戶場景勾選單》</t>
    </r>
    <r>
      <rPr>
        <sz val="10"/>
        <rFont val="Arial"/>
        <family val="0"/>
        <charset val="1"/>
      </rPr>
      <t xml:space="preserve">1 </t>
    </r>
    <r>
      <rPr>
        <sz val="10"/>
        <rFont val="Noto Sans CJK SC"/>
        <family val="2"/>
      </rPr>
      <t xml:space="preserve">頁</t>
    </r>
  </si>
  <si>
    <t xml:space="preserve">—</t>
  </si>
  <si>
    <r>
      <rPr>
        <b val="true"/>
        <sz val="10"/>
        <rFont val="Noto Sans CJK SC"/>
        <family val="2"/>
      </rPr>
      <t xml:space="preserve">行前 </t>
    </r>
    <r>
      <rPr>
        <b val="true"/>
        <sz val="10"/>
        <rFont val="Arial"/>
        <family val="0"/>
        <charset val="1"/>
      </rPr>
      <t xml:space="preserve">T-3</t>
    </r>
  </si>
  <si>
    <t xml:space="preserve">4</t>
  </si>
  <si>
    <r>
      <rPr>
        <sz val="10"/>
        <rFont val="Noto Sans CJK SC"/>
        <family val="2"/>
      </rPr>
      <t xml:space="preserve">對照總表『需要客戶先給文件的 </t>
    </r>
    <r>
      <rPr>
        <sz val="10"/>
        <rFont val="Arial"/>
        <family val="0"/>
        <charset val="1"/>
      </rPr>
      <t xml:space="preserve">7 </t>
    </r>
    <r>
      <rPr>
        <sz val="10"/>
        <rFont val="Noto Sans CJK SC"/>
        <family val="2"/>
      </rPr>
      <t xml:space="preserve">張卡』，開清單向客戶索取</t>
    </r>
  </si>
  <si>
    <t xml:space="preserve">《場景庫》總表讀法③</t>
  </si>
  <si>
    <r>
      <rPr>
        <sz val="10"/>
        <rFont val="Noto Sans CJK SC"/>
        <family val="2"/>
      </rPr>
      <t xml:space="preserve">文件索取清單（</t>
    </r>
    <r>
      <rPr>
        <sz val="10"/>
        <rFont val="Arial"/>
        <family val="0"/>
        <charset val="1"/>
      </rPr>
      <t xml:space="preserve">email</t>
    </r>
    <r>
      <rPr>
        <sz val="10"/>
        <rFont val="Noto Sans CJK SC"/>
        <family val="2"/>
      </rPr>
      <t xml:space="preserve">）</t>
    </r>
  </si>
  <si>
    <t xml:space="preserve">客戶說要簽呈→先取不敏感的，其餘走替代做法，不阻擋排交付</t>
  </si>
  <si>
    <t xml:space="preserve">5</t>
  </si>
  <si>
    <r>
      <rPr>
        <sz val="10"/>
        <rFont val="Noto Sans CJK SC"/>
        <family val="2"/>
      </rPr>
      <t xml:space="preserve">填我方欄位的《環境交付規格書》草稿並寄客戶 </t>
    </r>
    <r>
      <rPr>
        <sz val="10"/>
        <rFont val="Arial"/>
        <family val="0"/>
        <charset val="1"/>
      </rPr>
      <t xml:space="preserve">IT </t>
    </r>
    <r>
      <rPr>
        <sz val="10"/>
        <rFont val="Noto Sans CJK SC"/>
        <family val="2"/>
      </rPr>
      <t xml:space="preserve">預覽</t>
    </r>
  </si>
  <si>
    <t xml:space="preserve">本檔『環境交付規格書』分頁、主機規格書、維運服務條款</t>
  </si>
  <si>
    <t xml:space="preserve">規格書草稿（寄出）</t>
  </si>
  <si>
    <t xml:space="preserve">服務條款未定→先留空並標『待業務確認』，不可空白帶到現場</t>
  </si>
  <si>
    <r>
      <rPr>
        <b val="true"/>
        <sz val="10"/>
        <rFont val="Noto Sans CJK SC"/>
        <family val="2"/>
      </rPr>
      <t xml:space="preserve">行前 </t>
    </r>
    <r>
      <rPr>
        <b val="true"/>
        <sz val="10"/>
        <rFont val="Arial"/>
        <family val="0"/>
        <charset val="1"/>
      </rPr>
      <t xml:space="preserve">T-1</t>
    </r>
  </si>
  <si>
    <r>
      <rPr>
        <sz val="10"/>
        <rFont val="Noto Sans CJK SC"/>
        <family val="2"/>
      </rPr>
      <t xml:space="preserve">開帳號、設角色權限、測 </t>
    </r>
    <r>
      <rPr>
        <sz val="10"/>
        <rFont val="Arial"/>
        <family val="0"/>
        <charset val="1"/>
      </rPr>
      <t xml:space="preserve">OAPI </t>
    </r>
    <r>
      <rPr>
        <sz val="10"/>
        <rFont val="Noto Sans CJK SC"/>
        <family val="2"/>
      </rPr>
      <t xml:space="preserve">連線</t>
    </r>
  </si>
  <si>
    <t xml:space="preserve">出貨授權碼、參訓名單、客戶帳號命名規則</t>
  </si>
  <si>
    <t xml:space="preserve">已開通帳號清單</t>
  </si>
  <si>
    <r>
      <rPr>
        <sz val="10"/>
        <rFont val="Noto Sans CJK SC"/>
        <family val="2"/>
      </rPr>
      <t xml:space="preserve">名單沒到→只開窗口一人，現場再補（會吃掉 </t>
    </r>
    <r>
      <rPr>
        <sz val="10"/>
        <rFont val="Arial"/>
        <family val="0"/>
        <charset val="1"/>
      </rPr>
      <t xml:space="preserve">A </t>
    </r>
    <r>
      <rPr>
        <sz val="10"/>
        <rFont val="Noto Sans CJK SC"/>
        <family val="2"/>
      </rPr>
      <t xml:space="preserve">段時間）</t>
    </r>
  </si>
  <si>
    <t xml:space="preserve">7</t>
  </si>
  <si>
    <r>
      <rPr>
        <sz val="10"/>
        <rFont val="Noto Sans CJK SC"/>
        <family val="2"/>
      </rPr>
      <t xml:space="preserve">組客戶專屬菜單：挑 </t>
    </r>
    <r>
      <rPr>
        <sz val="10"/>
        <rFont val="Arial"/>
        <family val="0"/>
        <charset val="1"/>
      </rPr>
      <t xml:space="preserve">8-10 </t>
    </r>
    <r>
      <rPr>
        <sz val="10"/>
        <rFont val="Noto Sans CJK SC"/>
        <family val="2"/>
      </rPr>
      <t xml:space="preserve">張卡、填客戶術語、掛客戶文件、逐張測試</t>
    </r>
  </si>
  <si>
    <t xml:space="preserve">勾選單回覆、客戶素材、《場景庫》各卡提示詞</t>
  </si>
  <si>
    <r>
      <rPr>
        <sz val="10"/>
        <rFont val="Noto Sans CJK SC"/>
        <family val="2"/>
      </rPr>
      <t xml:space="preserve">租戶內 </t>
    </r>
    <r>
      <rPr>
        <sz val="10"/>
        <rFont val="Arial"/>
        <family val="0"/>
        <charset val="1"/>
      </rPr>
      <t xml:space="preserve">8-10 </t>
    </r>
    <r>
      <rPr>
        <sz val="10"/>
        <rFont val="Noto Sans CJK SC"/>
        <family val="2"/>
      </rPr>
      <t xml:space="preserve">張已測試的卡</t>
    </r>
  </si>
  <si>
    <r>
      <rPr>
        <sz val="10"/>
        <rFont val="Arial"/>
        <family val="0"/>
        <charset val="1"/>
      </rPr>
      <t xml:space="preserve">ERP </t>
    </r>
    <r>
      <rPr>
        <sz val="10"/>
        <rFont val="Noto Sans CJK SC"/>
        <family val="2"/>
      </rPr>
      <t xml:space="preserve">手冊拿不到→先掛原廠手冊，現場說明客製待補（見替代做法）</t>
    </r>
  </si>
  <si>
    <r>
      <rPr>
        <b val="true"/>
        <sz val="10"/>
        <rFont val="Noto Sans CJK SC"/>
        <family val="2"/>
      </rPr>
      <t xml:space="preserve">段 </t>
    </r>
    <r>
      <rPr>
        <b val="true"/>
        <sz val="10"/>
        <rFont val="Arial"/>
        <family val="0"/>
        <charset val="1"/>
      </rPr>
      <t xml:space="preserve">0</t>
    </r>
    <r>
      <rPr>
        <b val="true"/>
        <sz val="10"/>
        <rFont val="Noto Sans CJK SC"/>
        <family val="2"/>
      </rPr>
      <t xml:space="preserve">（</t>
    </r>
    <r>
      <rPr>
        <b val="true"/>
        <sz val="10"/>
        <rFont val="Arial"/>
        <family val="0"/>
        <charset val="1"/>
      </rPr>
      <t xml:space="preserve">0.5H</t>
    </r>
    <r>
      <rPr>
        <b val="true"/>
        <sz val="10"/>
        <rFont val="Noto Sans CJK SC"/>
        <family val="2"/>
      </rPr>
      <t xml:space="preserve">）</t>
    </r>
  </si>
  <si>
    <t xml:space="preserve">開場一句：先講資料落地，不講功能</t>
  </si>
  <si>
    <r>
      <rPr>
        <sz val="10"/>
        <rFont val="Noto Sans CJK SC"/>
        <family val="2"/>
      </rPr>
      <t xml:space="preserve">逐項走《資料落地與管制說明》五項：落地邊界／上傳阻擋／稽核 </t>
    </r>
    <r>
      <rPr>
        <sz val="10"/>
        <rFont val="Arial"/>
        <family val="0"/>
        <charset val="1"/>
      </rPr>
      <t xml:space="preserve">log </t>
    </r>
    <r>
      <rPr>
        <sz val="10"/>
        <rFont val="Noto Sans CJK SC"/>
        <family val="2"/>
      </rPr>
      <t xml:space="preserve">與保留期／權限／信箱存取</t>
    </r>
  </si>
  <si>
    <t xml:space="preserve">定版說明文件＋平台實際設定截圖</t>
  </si>
  <si>
    <r>
      <rPr>
        <sz val="10"/>
        <rFont val="Noto Sans CJK SC"/>
        <family val="2"/>
      </rPr>
      <t xml:space="preserve">客戶簽認 </t>
    </r>
    <r>
      <rPr>
        <sz val="10"/>
        <rFont val="Arial"/>
        <family val="0"/>
        <charset val="1"/>
      </rPr>
      <t xml:space="preserve">1 </t>
    </r>
    <r>
      <rPr>
        <sz val="10"/>
        <rFont val="Noto Sans CJK SC"/>
        <family val="2"/>
      </rPr>
      <t xml:space="preserve">份</t>
    </r>
  </si>
  <si>
    <t xml:space="preserve">某項技術上做不到→當場明說做不到，並寫替代管制，不得含糊</t>
  </si>
  <si>
    <r>
      <rPr>
        <sz val="10"/>
        <rFont val="Noto Sans CJK SC"/>
        <family val="2"/>
      </rPr>
      <t xml:space="preserve">與客戶 </t>
    </r>
    <r>
      <rPr>
        <sz val="10"/>
        <rFont val="Arial"/>
        <family val="0"/>
        <charset val="1"/>
      </rPr>
      <t xml:space="preserve">IT </t>
    </r>
    <r>
      <rPr>
        <sz val="10"/>
        <rFont val="Noto Sans CJK SC"/>
        <family val="2"/>
      </rPr>
      <t xml:space="preserve">逐項確認《環境交付規格書》</t>
    </r>
    <r>
      <rPr>
        <sz val="10"/>
        <rFont val="Arial"/>
        <family val="0"/>
        <charset val="1"/>
      </rPr>
      <t xml:space="preserve">14 </t>
    </r>
    <r>
      <rPr>
        <sz val="10"/>
        <rFont val="Noto Sans CJK SC"/>
        <family val="2"/>
      </rPr>
      <t xml:space="preserve">項，特別確認第 </t>
    </r>
    <r>
      <rPr>
        <sz val="10"/>
        <rFont val="Arial"/>
        <family val="0"/>
        <charset val="1"/>
      </rPr>
      <t xml:space="preserve">12 </t>
    </r>
    <r>
      <rPr>
        <sz val="10"/>
        <rFont val="Noto Sans CJK SC"/>
        <family val="2"/>
      </rPr>
      <t xml:space="preserve">項故障窗口與回應時間</t>
    </r>
  </si>
  <si>
    <r>
      <rPr>
        <sz val="10"/>
        <rFont val="Noto Sans CJK SC"/>
        <family val="2"/>
      </rPr>
      <t xml:space="preserve">行前草稿＋客戶 </t>
    </r>
    <r>
      <rPr>
        <sz val="10"/>
        <rFont val="Arial"/>
        <family val="0"/>
        <charset val="1"/>
      </rPr>
      <t xml:space="preserve">IT </t>
    </r>
    <r>
      <rPr>
        <sz val="10"/>
        <rFont val="Noto Sans CJK SC"/>
        <family val="2"/>
      </rPr>
      <t xml:space="preserve">現場資訊</t>
    </r>
  </si>
  <si>
    <r>
      <rPr>
        <sz val="10"/>
        <rFont val="Noto Sans CJK SC"/>
        <family val="2"/>
      </rPr>
      <t xml:space="preserve">雙方簽認 </t>
    </r>
    <r>
      <rPr>
        <sz val="10"/>
        <rFont val="Arial"/>
        <family val="0"/>
        <charset val="1"/>
      </rPr>
      <t xml:space="preserve">1 </t>
    </r>
    <r>
      <rPr>
        <sz val="10"/>
        <rFont val="Noto Sans CJK SC"/>
        <family val="2"/>
      </rPr>
      <t xml:space="preserve">份</t>
    </r>
  </si>
  <si>
    <r>
      <rPr>
        <sz val="10"/>
        <rFont val="Noto Sans CJK SC"/>
        <family val="2"/>
      </rPr>
      <t xml:space="preserve">客戶 </t>
    </r>
    <r>
      <rPr>
        <sz val="10"/>
        <rFont val="Arial"/>
        <family val="0"/>
        <charset val="1"/>
      </rPr>
      <t xml:space="preserve">IT </t>
    </r>
    <r>
      <rPr>
        <sz val="10"/>
        <rFont val="Noto Sans CJK SC"/>
        <family val="2"/>
      </rPr>
      <t xml:space="preserve">當下答不出網段／備份→標『待補』並約定補齊日，其餘照走</t>
    </r>
  </si>
  <si>
    <r>
      <rPr>
        <sz val="10"/>
        <rFont val="Noto Sans CJK SC"/>
        <family val="2"/>
      </rPr>
      <t xml:space="preserve">請客戶主管在場，說明後續 </t>
    </r>
    <r>
      <rPr>
        <sz val="10"/>
        <rFont val="Arial"/>
        <family val="0"/>
        <charset val="1"/>
      </rPr>
      <t xml:space="preserve">D+7/14/30 </t>
    </r>
    <r>
      <rPr>
        <sz val="10"/>
        <rFont val="Noto Sans CJK SC"/>
        <family val="2"/>
      </rPr>
      <t xml:space="preserve">的追蹤節奏與週會 </t>
    </r>
    <r>
      <rPr>
        <sz val="10"/>
        <rFont val="Arial"/>
        <family val="0"/>
        <charset val="1"/>
      </rPr>
      <t xml:space="preserve">demo </t>
    </r>
    <r>
      <rPr>
        <sz val="10"/>
        <rFont val="Noto Sans CJK SC"/>
        <family val="2"/>
      </rPr>
      <t xml:space="preserve">機制（預告）</t>
    </r>
  </si>
  <si>
    <t xml:space="preserve">本檔『離場後追蹤』分頁</t>
  </si>
  <si>
    <t xml:space="preserve">主管知情</t>
  </si>
  <si>
    <r>
      <rPr>
        <sz val="10"/>
        <rFont val="Noto Sans CJK SC"/>
        <family val="2"/>
      </rPr>
      <t xml:space="preserve">主管沒出現→改在 </t>
    </r>
    <r>
      <rPr>
        <sz val="10"/>
        <rFont val="Arial"/>
        <family val="0"/>
        <charset val="1"/>
      </rPr>
      <t xml:space="preserve">G </t>
    </r>
    <r>
      <rPr>
        <sz val="10"/>
        <rFont val="Noto Sans CJK SC"/>
        <family val="2"/>
      </rPr>
      <t xml:space="preserve">段補，並記錄</t>
    </r>
  </si>
  <si>
    <r>
      <rPr>
        <b val="true"/>
        <sz val="10"/>
        <rFont val="Arial"/>
        <family val="0"/>
        <charset val="1"/>
      </rPr>
      <t xml:space="preserve">A </t>
    </r>
    <r>
      <rPr>
        <b val="true"/>
        <sz val="10"/>
        <rFont val="Noto Sans CJK SC"/>
        <family val="2"/>
      </rPr>
      <t xml:space="preserve">段（</t>
    </r>
    <r>
      <rPr>
        <b val="true"/>
        <sz val="10"/>
        <rFont val="Arial"/>
        <family val="0"/>
        <charset val="1"/>
      </rPr>
      <t xml:space="preserve">1.0H</t>
    </r>
    <r>
      <rPr>
        <b val="true"/>
        <sz val="10"/>
        <rFont val="Noto Sans CJK SC"/>
        <family val="2"/>
      </rPr>
      <t xml:space="preserve">）</t>
    </r>
  </si>
  <si>
    <r>
      <rPr>
        <sz val="10"/>
        <rFont val="Noto Sans CJK SC"/>
        <family val="2"/>
      </rPr>
      <t xml:space="preserve">客戶 </t>
    </r>
    <r>
      <rPr>
        <sz val="10"/>
        <rFont val="Arial"/>
        <family val="0"/>
        <charset val="1"/>
      </rPr>
      <t xml:space="preserve">IT </t>
    </r>
    <r>
      <rPr>
        <sz val="10"/>
        <rFont val="Noto Sans CJK SC"/>
        <family val="2"/>
      </rPr>
      <t xml:space="preserve">在場，依規格書指定位置與網段安裝主機</t>
    </r>
  </si>
  <si>
    <t xml:space="preserve">授權碼、安裝程式、簽認的規格書</t>
  </si>
  <si>
    <t xml:space="preserve">可運作的主機</t>
  </si>
  <si>
    <t xml:space="preserve">規格書未簽→先裝但不接生產網段</t>
  </si>
  <si>
    <t xml:space="preserve">啟用分身與授權、安裝技能與插件</t>
  </si>
  <si>
    <t xml:space="preserve">授權碼</t>
  </si>
  <si>
    <t xml:space="preserve">啟用紀錄</t>
  </si>
  <si>
    <r>
      <rPr>
        <sz val="10"/>
        <rFont val="Arial"/>
        <family val="0"/>
        <charset val="1"/>
      </rPr>
      <t xml:space="preserve">OAPI </t>
    </r>
    <r>
      <rPr>
        <sz val="10"/>
        <rFont val="Noto Sans CJK SC"/>
        <family val="2"/>
      </rPr>
      <t xml:space="preserve">連線測試；需開 </t>
    </r>
    <r>
      <rPr>
        <sz val="10"/>
        <rFont val="Arial"/>
        <family val="0"/>
        <charset val="1"/>
      </rPr>
      <t xml:space="preserve">port </t>
    </r>
    <r>
      <rPr>
        <sz val="10"/>
        <rFont val="Noto Sans CJK SC"/>
        <family val="2"/>
      </rPr>
      <t xml:space="preserve">者當場填防火牆例外申請單</t>
    </r>
  </si>
  <si>
    <r>
      <rPr>
        <sz val="10"/>
        <rFont val="Arial"/>
        <family val="0"/>
        <charset val="1"/>
      </rPr>
      <t xml:space="preserve">OAPI </t>
    </r>
    <r>
      <rPr>
        <sz val="10"/>
        <rFont val="Noto Sans CJK SC"/>
        <family val="2"/>
      </rPr>
      <t xml:space="preserve">參數、客戶防火牆政策</t>
    </r>
  </si>
  <si>
    <t xml:space="preserve">連線測試結果／例外申請單</t>
  </si>
  <si>
    <t xml:space="preserve">例外當天不能核准→記錄為未完成項，改用不需外連的卡先跑</t>
  </si>
  <si>
    <t xml:space="preserve">把行前組好的菜單灌進租戶，逐張點開確認可用</t>
  </si>
  <si>
    <t xml:space="preserve">《客戶專屬菜單清單》</t>
  </si>
  <si>
    <t xml:space="preserve">逐張點開截圖</t>
  </si>
  <si>
    <r>
      <rPr>
        <sz val="10"/>
        <rFont val="Noto Sans CJK SC"/>
        <family val="2"/>
      </rPr>
      <t xml:space="preserve">某張卡開不了→從菜單移除，現場不 </t>
    </r>
    <r>
      <rPr>
        <sz val="10"/>
        <rFont val="Arial"/>
        <family val="0"/>
        <charset val="1"/>
      </rPr>
      <t xml:space="preserve">debug</t>
    </r>
    <r>
      <rPr>
        <sz val="10"/>
        <rFont val="Noto Sans CJK SC"/>
        <family val="2"/>
      </rPr>
      <t xml:space="preserve">，列入 </t>
    </r>
    <r>
      <rPr>
        <sz val="10"/>
        <rFont val="Arial"/>
        <family val="0"/>
        <charset val="1"/>
      </rPr>
      <t xml:space="preserve">D+7 </t>
    </r>
    <r>
      <rPr>
        <sz val="10"/>
        <rFont val="Noto Sans CJK SC"/>
        <family val="2"/>
      </rPr>
      <t xml:space="preserve">補</t>
    </r>
  </si>
  <si>
    <r>
      <rPr>
        <b val="true"/>
        <sz val="10"/>
        <rFont val="Arial"/>
        <family val="0"/>
        <charset val="1"/>
      </rPr>
      <t xml:space="preserve">B </t>
    </r>
    <r>
      <rPr>
        <b val="true"/>
        <sz val="10"/>
        <rFont val="Noto Sans CJK SC"/>
        <family val="2"/>
      </rPr>
      <t xml:space="preserve">段（</t>
    </r>
    <r>
      <rPr>
        <b val="true"/>
        <sz val="10"/>
        <rFont val="Arial"/>
        <family val="0"/>
        <charset val="1"/>
      </rPr>
      <t xml:space="preserve">0.5H</t>
    </r>
    <r>
      <rPr>
        <b val="true"/>
        <sz val="10"/>
        <rFont val="Noto Sans CJK SC"/>
        <family val="2"/>
      </rPr>
      <t xml:space="preserve">）</t>
    </r>
  </si>
  <si>
    <t xml:space="preserve">不做介面導覽。直接請每人拿出當天手上一份文件</t>
  </si>
  <si>
    <t xml:space="preserve">參訓者自己的文件</t>
  </si>
  <si>
    <r>
      <rPr>
        <sz val="10"/>
        <rFont val="Arial"/>
        <family val="0"/>
        <charset val="1"/>
      </rPr>
      <t xml:space="preserve">IT</t>
    </r>
    <r>
      <rPr>
        <sz val="10"/>
        <rFont val="Noto Sans CJK SC"/>
        <family val="2"/>
      </rPr>
      <t xml:space="preserve">／</t>
    </r>
    <r>
      <rPr>
        <sz val="10"/>
        <rFont val="Arial"/>
        <family val="0"/>
        <charset val="1"/>
      </rPr>
      <t xml:space="preserve">MIS </t>
    </r>
    <r>
      <rPr>
        <sz val="10"/>
        <rFont val="Noto Sans CJK SC"/>
        <family val="2"/>
      </rPr>
      <t xml:space="preserve">改用顧問預先指定的安全素材（原廠英文文件／公開規範／</t>
    </r>
    <r>
      <rPr>
        <sz val="10"/>
        <rFont val="Arial"/>
        <family val="0"/>
        <charset val="1"/>
      </rPr>
      <t xml:space="preserve">log </t>
    </r>
    <r>
      <rPr>
        <sz val="10"/>
        <rFont val="Noto Sans CJK SC"/>
        <family val="2"/>
      </rPr>
      <t xml:space="preserve">片段）</t>
    </r>
  </si>
  <si>
    <t xml:space="preserve">行前準備的安全素材包</t>
  </si>
  <si>
    <r>
      <rPr>
        <sz val="10"/>
        <rFont val="Arial"/>
        <family val="0"/>
        <charset val="1"/>
      </rPr>
      <t xml:space="preserve">IT </t>
    </r>
    <r>
      <rPr>
        <sz val="10"/>
        <rFont val="Noto Sans CJK SC"/>
        <family val="2"/>
      </rPr>
      <t xml:space="preserve">沒帶→用顧問備妥的通用原廠文件</t>
    </r>
  </si>
  <si>
    <r>
      <rPr>
        <sz val="10"/>
        <rFont val="Noto Sans CJK SC"/>
        <family val="2"/>
      </rPr>
      <t xml:space="preserve">用 </t>
    </r>
    <r>
      <rPr>
        <sz val="10"/>
        <rFont val="Arial"/>
        <family val="0"/>
        <charset val="1"/>
      </rPr>
      <t xml:space="preserve">L1-04 </t>
    </r>
    <r>
      <rPr>
        <sz val="10"/>
        <rFont val="Noto Sans CJK SC"/>
        <family val="2"/>
      </rPr>
      <t xml:space="preserve">或 </t>
    </r>
    <r>
      <rPr>
        <sz val="10"/>
        <rFont val="Arial"/>
        <family val="0"/>
        <charset val="1"/>
      </rPr>
      <t xml:space="preserve">L2-MIS-03</t>
    </r>
    <r>
      <rPr>
        <sz val="10"/>
        <rFont val="Noto Sans CJK SC"/>
        <family val="2"/>
      </rPr>
      <t xml:space="preserve">／</t>
    </r>
    <r>
      <rPr>
        <sz val="10"/>
        <rFont val="Arial"/>
        <family val="0"/>
        <charset val="1"/>
      </rPr>
      <t xml:space="preserve">04</t>
    </r>
    <r>
      <rPr>
        <sz val="10"/>
        <rFont val="Noto Sans CJK SC"/>
        <family val="2"/>
      </rPr>
      <t xml:space="preserve">，</t>
    </r>
    <r>
      <rPr>
        <sz val="10"/>
        <rFont val="Arial"/>
        <family val="0"/>
        <charset val="1"/>
      </rPr>
      <t xml:space="preserve">30 </t>
    </r>
    <r>
      <rPr>
        <sz val="10"/>
        <rFont val="Noto Sans CJK SC"/>
        <family val="2"/>
      </rPr>
      <t xml:space="preserve">秒產出，逐人確認每個人都成功一次</t>
    </r>
  </si>
  <si>
    <t xml:space="preserve">對應卡的提示詞</t>
  </si>
  <si>
    <r>
      <rPr>
        <sz val="10"/>
        <rFont val="Noto Sans CJK SC"/>
        <family val="2"/>
      </rPr>
      <t xml:space="preserve">每人 </t>
    </r>
    <r>
      <rPr>
        <sz val="10"/>
        <rFont val="Arial"/>
        <family val="0"/>
        <charset val="1"/>
      </rPr>
      <t xml:space="preserve">1 </t>
    </r>
    <r>
      <rPr>
        <sz val="10"/>
        <rFont val="Noto Sans CJK SC"/>
        <family val="2"/>
      </rPr>
      <t xml:space="preserve">次成功產出</t>
    </r>
  </si>
  <si>
    <t xml:space="preserve">有人失敗→顧問旁邊陪跑一次，不跳過</t>
  </si>
  <si>
    <r>
      <rPr>
        <b val="true"/>
        <sz val="10"/>
        <rFont val="Arial"/>
        <family val="0"/>
        <charset val="1"/>
      </rPr>
      <t xml:space="preserve">C </t>
    </r>
    <r>
      <rPr>
        <b val="true"/>
        <sz val="10"/>
        <rFont val="Noto Sans CJK SC"/>
        <family val="2"/>
      </rPr>
      <t xml:space="preserve">段（</t>
    </r>
    <r>
      <rPr>
        <b val="true"/>
        <sz val="10"/>
        <rFont val="Arial"/>
        <family val="0"/>
        <charset val="1"/>
      </rPr>
      <t xml:space="preserve">1.5H</t>
    </r>
    <r>
      <rPr>
        <b val="true"/>
        <sz val="10"/>
        <rFont val="Noto Sans CJK SC"/>
        <family val="2"/>
      </rPr>
      <t xml:space="preserve">）</t>
    </r>
  </si>
  <si>
    <r>
      <rPr>
        <sz val="10"/>
        <rFont val="Noto Sans CJK SC"/>
        <family val="2"/>
      </rPr>
      <t xml:space="preserve">用《場景庫》總表走查三層；製造業從 </t>
    </r>
    <r>
      <rPr>
        <sz val="10"/>
        <rFont val="Arial"/>
        <family val="0"/>
        <charset val="1"/>
      </rPr>
      <t xml:space="preserve">L2-MIS </t>
    </r>
    <r>
      <rPr>
        <sz val="10"/>
        <rFont val="Noto Sans CJK SC"/>
        <family val="2"/>
      </rPr>
      <t xml:space="preserve">包的 </t>
    </r>
    <r>
      <rPr>
        <sz val="10"/>
        <rFont val="Arial"/>
        <family val="0"/>
        <charset val="1"/>
      </rPr>
      <t xml:space="preserve">ERP </t>
    </r>
    <r>
      <rPr>
        <sz val="10"/>
        <rFont val="Noto Sans CJK SC"/>
        <family val="2"/>
      </rPr>
      <t xml:space="preserve">問答那張開始講</t>
    </r>
  </si>
  <si>
    <t xml:space="preserve">整體規劃總表</t>
  </si>
  <si>
    <r>
      <rPr>
        <sz val="10"/>
        <rFont val="Noto Sans CJK SC"/>
        <family val="2"/>
      </rPr>
      <t xml:space="preserve">每人依附錄 </t>
    </r>
    <r>
      <rPr>
        <sz val="10"/>
        <rFont val="Arial"/>
        <family val="0"/>
        <charset val="1"/>
      </rPr>
      <t xml:space="preserve">B </t>
    </r>
    <r>
      <rPr>
        <sz val="10"/>
        <rFont val="Noto Sans CJK SC"/>
        <family val="2"/>
      </rPr>
      <t xml:space="preserve">推薦組合選 </t>
    </r>
    <r>
      <rPr>
        <sz val="10"/>
        <rFont val="Arial"/>
        <family val="0"/>
        <charset val="1"/>
      </rPr>
      <t xml:space="preserve">3 </t>
    </r>
    <r>
      <rPr>
        <sz val="10"/>
        <rFont val="Noto Sans CJK SC"/>
        <family val="2"/>
      </rPr>
      <t xml:space="preserve">張（顧問可建議但不代選）</t>
    </r>
  </si>
  <si>
    <r>
      <rPr>
        <sz val="10"/>
        <rFont val="Noto Sans CJK SC"/>
        <family val="2"/>
      </rPr>
      <t xml:space="preserve">附錄 </t>
    </r>
    <r>
      <rPr>
        <sz val="10"/>
        <rFont val="Arial"/>
        <family val="0"/>
        <charset val="1"/>
      </rPr>
      <t xml:space="preserve">B </t>
    </r>
    <r>
      <rPr>
        <sz val="10"/>
        <rFont val="Noto Sans CJK SC"/>
        <family val="2"/>
      </rPr>
      <t xml:space="preserve">推薦組合</t>
    </r>
  </si>
  <si>
    <r>
      <rPr>
        <sz val="10"/>
        <rFont val="Noto Sans CJK SC"/>
        <family val="2"/>
      </rPr>
      <t xml:space="preserve">每人 </t>
    </r>
    <r>
      <rPr>
        <sz val="10"/>
        <rFont val="Arial"/>
        <family val="0"/>
        <charset val="1"/>
      </rPr>
      <t xml:space="preserve">3 </t>
    </r>
    <r>
      <rPr>
        <sz val="10"/>
        <rFont val="Noto Sans CJK SC"/>
        <family val="2"/>
      </rPr>
      <t xml:space="preserve">張選單</t>
    </r>
  </si>
  <si>
    <t xml:space="preserve">有人選不出來→直接給推薦組合的預設三張</t>
  </si>
  <si>
    <r>
      <rPr>
        <sz val="10"/>
        <rFont val="Noto Sans CJK SC"/>
        <family val="2"/>
      </rPr>
      <t xml:space="preserve">每人用自己的資料當場跑通 </t>
    </r>
    <r>
      <rPr>
        <sz val="10"/>
        <rFont val="Arial"/>
        <family val="0"/>
        <charset val="1"/>
      </rPr>
      <t xml:space="preserve">3 </t>
    </r>
    <r>
      <rPr>
        <sz val="10"/>
        <rFont val="Noto Sans CJK SC"/>
        <family val="2"/>
      </rPr>
      <t xml:space="preserve">張，顧問不代操作</t>
    </r>
  </si>
  <si>
    <t xml:space="preserve">各卡『輸入資料』欄所列的資料</t>
  </si>
  <si>
    <t xml:space="preserve">《場景卡選用紀錄》逐列填寫</t>
  </si>
  <si>
    <r>
      <rPr>
        <sz val="10"/>
        <rFont val="Noto Sans CJK SC"/>
        <family val="2"/>
      </rPr>
      <t xml:space="preserve">資料沒帶→換一張不需外部資料的卡（</t>
    </r>
    <r>
      <rPr>
        <sz val="10"/>
        <rFont val="Arial"/>
        <family val="0"/>
        <charset val="1"/>
      </rPr>
      <t xml:space="preserve">L1-02</t>
    </r>
    <r>
      <rPr>
        <sz val="10"/>
        <rFont val="Noto Sans CJK SC"/>
        <family val="2"/>
      </rPr>
      <t xml:space="preserve">／</t>
    </r>
    <r>
      <rPr>
        <sz val="10"/>
        <rFont val="Arial"/>
        <family val="0"/>
        <charset val="1"/>
      </rPr>
      <t xml:space="preserve">L1-07</t>
    </r>
    <r>
      <rPr>
        <sz val="10"/>
        <rFont val="Noto Sans CJK SC"/>
        <family val="2"/>
      </rPr>
      <t xml:space="preserve">）</t>
    </r>
  </si>
  <si>
    <r>
      <rPr>
        <sz val="10"/>
        <rFont val="Noto Sans CJK SC"/>
        <family val="2"/>
      </rPr>
      <t xml:space="preserve">逐張對《場景庫》的『</t>
    </r>
    <r>
      <rPr>
        <sz val="10"/>
        <rFont val="Arial"/>
        <family val="0"/>
        <charset val="1"/>
      </rPr>
      <t xml:space="preserve">5 </t>
    </r>
    <r>
      <rPr>
        <sz val="10"/>
        <rFont val="Noto Sans CJK SC"/>
        <family val="2"/>
      </rPr>
      <t xml:space="preserve">分鐘檢核』確認結果是對的，不是只跑出東西</t>
    </r>
  </si>
  <si>
    <r>
      <rPr>
        <sz val="10"/>
        <rFont val="Noto Sans CJK SC"/>
        <family val="2"/>
      </rPr>
      <t xml:space="preserve">各卡 </t>
    </r>
    <r>
      <rPr>
        <sz val="10"/>
        <rFont val="Arial"/>
        <family val="0"/>
        <charset val="1"/>
      </rPr>
      <t xml:space="preserve">5 </t>
    </r>
    <r>
      <rPr>
        <sz val="10"/>
        <rFont val="Noto Sans CJK SC"/>
        <family val="2"/>
      </rPr>
      <t xml:space="preserve">分鐘檢核條件</t>
    </r>
  </si>
  <si>
    <t xml:space="preserve">檢核勾選</t>
  </si>
  <si>
    <t xml:space="preserve">結果明顯錯→記錄卡號與現象，列入場景庫校準清單</t>
  </si>
  <si>
    <r>
      <rPr>
        <b val="true"/>
        <sz val="10"/>
        <rFont val="Arial"/>
        <family val="0"/>
        <charset val="1"/>
      </rPr>
      <t xml:space="preserve">D </t>
    </r>
    <r>
      <rPr>
        <b val="true"/>
        <sz val="10"/>
        <rFont val="Noto Sans CJK SC"/>
        <family val="2"/>
      </rPr>
      <t xml:space="preserve">段（</t>
    </r>
    <r>
      <rPr>
        <b val="true"/>
        <sz val="10"/>
        <rFont val="Arial"/>
        <family val="0"/>
        <charset val="1"/>
      </rPr>
      <t xml:space="preserve">1.25H</t>
    </r>
    <r>
      <rPr>
        <b val="true"/>
        <sz val="10"/>
        <rFont val="Noto Sans CJK SC"/>
        <family val="2"/>
      </rPr>
      <t xml:space="preserve">）</t>
    </r>
  </si>
  <si>
    <r>
      <rPr>
        <sz val="10"/>
        <rFont val="Noto Sans CJK SC"/>
        <family val="2"/>
      </rPr>
      <t xml:space="preserve">開場景精靈，逐人跑 </t>
    </r>
    <r>
      <rPr>
        <sz val="10"/>
        <rFont val="Arial"/>
        <family val="0"/>
        <charset val="1"/>
      </rPr>
      <t xml:space="preserve">5 </t>
    </r>
    <r>
      <rPr>
        <sz val="10"/>
        <rFont val="Noto Sans CJK SC"/>
        <family val="2"/>
      </rPr>
      <t xml:space="preserve">題引導（一次一題，追問不超過一次）</t>
    </r>
  </si>
  <si>
    <r>
      <rPr>
        <sz val="10"/>
        <rFont val="Noto Sans CJK SC"/>
        <family val="2"/>
      </rPr>
      <t xml:space="preserve">附錄 </t>
    </r>
    <r>
      <rPr>
        <sz val="10"/>
        <rFont val="Arial"/>
        <family val="0"/>
        <charset val="1"/>
      </rPr>
      <t xml:space="preserve">A </t>
    </r>
    <r>
      <rPr>
        <sz val="10"/>
        <rFont val="Noto Sans CJK SC"/>
        <family val="2"/>
      </rPr>
      <t xml:space="preserve">場景精靈提示詞</t>
    </r>
  </si>
  <si>
    <r>
      <rPr>
        <sz val="10"/>
        <rFont val="Noto Sans CJK SC"/>
        <family val="2"/>
      </rPr>
      <t xml:space="preserve">每人 </t>
    </r>
    <r>
      <rPr>
        <sz val="10"/>
        <rFont val="Arial"/>
        <family val="0"/>
        <charset val="1"/>
      </rPr>
      <t xml:space="preserve">1 </t>
    </r>
    <r>
      <rPr>
        <sz val="10"/>
        <rFont val="Noto Sans CJK SC"/>
        <family val="2"/>
      </rPr>
      <t xml:space="preserve">份卡草稿</t>
    </r>
  </si>
  <si>
    <r>
      <rPr>
        <sz val="10"/>
        <rFont val="Noto Sans CJK SC"/>
        <family val="2"/>
      </rPr>
      <t xml:space="preserve">精靈技能尚未開發→顧問照附錄 </t>
    </r>
    <r>
      <rPr>
        <sz val="10"/>
        <rFont val="Arial"/>
        <family val="0"/>
        <charset val="1"/>
      </rPr>
      <t xml:space="preserve">A </t>
    </r>
    <r>
      <rPr>
        <sz val="10"/>
        <rFont val="Noto Sans CJK SC"/>
        <family val="2"/>
      </rPr>
      <t xml:space="preserve">逐題口頭問（品質會隨顧問浮動）</t>
    </r>
  </si>
  <si>
    <t xml:space="preserve">把精靈輸出的卡存進客戶自己的菜單</t>
  </si>
  <si>
    <t xml:space="preserve">卡草稿</t>
  </si>
  <si>
    <r>
      <rPr>
        <sz val="10"/>
        <rFont val="Noto Sans CJK SC"/>
        <family val="2"/>
      </rPr>
      <t xml:space="preserve">菜單新增 </t>
    </r>
    <r>
      <rPr>
        <sz val="10"/>
        <rFont val="Arial"/>
        <family val="0"/>
        <charset val="1"/>
      </rPr>
      <t xml:space="preserve">1 </t>
    </r>
    <r>
      <rPr>
        <sz val="10"/>
        <rFont val="Noto Sans CJK SC"/>
        <family val="2"/>
      </rPr>
      <t xml:space="preserve">張</t>
    </r>
  </si>
  <si>
    <r>
      <rPr>
        <sz val="10"/>
        <rFont val="Noto Sans CJK SC"/>
        <family val="2"/>
      </rPr>
      <t xml:space="preserve">平台不支援存卡→改存成文字檔給客戶，並記錄為待確認 </t>
    </r>
    <r>
      <rPr>
        <sz val="10"/>
        <rFont val="Arial"/>
        <family val="0"/>
        <charset val="1"/>
      </rPr>
      <t xml:space="preserve">#8 </t>
    </r>
    <r>
      <rPr>
        <sz val="10"/>
        <rFont val="Noto Sans CJK SC"/>
        <family val="2"/>
      </rPr>
      <t xml:space="preserve">的實證</t>
    </r>
  </si>
  <si>
    <t xml:space="preserve">用真實資料實跑一次，未跑通不算完成</t>
  </si>
  <si>
    <t xml:space="preserve">該卡需要的客戶資料</t>
  </si>
  <si>
    <t xml:space="preserve">跑通紀錄</t>
  </si>
  <si>
    <t xml:space="preserve">跑不通→現場改參數；仍不通則降級為『草稿卡』並記錄</t>
  </si>
  <si>
    <r>
      <rPr>
        <b val="true"/>
        <sz val="10"/>
        <rFont val="Arial"/>
        <family val="0"/>
        <charset val="1"/>
      </rPr>
      <t xml:space="preserve">E </t>
    </r>
    <r>
      <rPr>
        <b val="true"/>
        <sz val="10"/>
        <rFont val="Noto Sans CJK SC"/>
        <family val="2"/>
      </rPr>
      <t xml:space="preserve">段（</t>
    </r>
    <r>
      <rPr>
        <b val="true"/>
        <sz val="10"/>
        <rFont val="Arial"/>
        <family val="0"/>
        <charset val="1"/>
      </rPr>
      <t xml:space="preserve">1.0H</t>
    </r>
    <r>
      <rPr>
        <b val="true"/>
        <sz val="10"/>
        <rFont val="Noto Sans CJK SC"/>
        <family val="2"/>
      </rPr>
      <t xml:space="preserve">）</t>
    </r>
  </si>
  <si>
    <r>
      <rPr>
        <sz val="10"/>
        <rFont val="Arial"/>
        <family val="0"/>
        <charset val="1"/>
      </rPr>
      <t xml:space="preserve">MIS</t>
    </r>
    <r>
      <rPr>
        <sz val="10"/>
        <rFont val="Noto Sans CJK SC"/>
        <family val="2"/>
      </rPr>
      <t xml:space="preserve">：先請 </t>
    </r>
    <r>
      <rPr>
        <sz val="10"/>
        <rFont val="Arial"/>
        <family val="0"/>
        <charset val="1"/>
      </rPr>
      <t xml:space="preserve">IT </t>
    </r>
    <r>
      <rPr>
        <sz val="10"/>
        <rFont val="Noto Sans CJK SC"/>
        <family val="2"/>
      </rPr>
      <t xml:space="preserve">列監看主機與路徑清單（約 </t>
    </r>
    <r>
      <rPr>
        <sz val="10"/>
        <rFont val="Arial"/>
        <family val="0"/>
        <charset val="1"/>
      </rPr>
      <t xml:space="preserve">10 </t>
    </r>
    <r>
      <rPr>
        <sz val="10"/>
        <rFont val="Noto Sans CJK SC"/>
        <family val="2"/>
      </rPr>
      <t xml:space="preserve">分鐘），設 </t>
    </r>
    <r>
      <rPr>
        <sz val="10"/>
        <rFont val="Arial"/>
        <family val="0"/>
        <charset val="1"/>
      </rPr>
      <t xml:space="preserve">L2-MIS-06 </t>
    </r>
    <r>
      <rPr>
        <sz val="10"/>
        <rFont val="Noto Sans CJK SC"/>
        <family val="2"/>
      </rPr>
      <t xml:space="preserve">每日 </t>
    </r>
    <r>
      <rPr>
        <sz val="10"/>
        <rFont val="Arial"/>
        <family val="0"/>
        <charset val="1"/>
      </rPr>
      <t xml:space="preserve">08:00</t>
    </r>
  </si>
  <si>
    <r>
      <rPr>
        <sz val="10"/>
        <rFont val="Arial"/>
        <family val="0"/>
        <charset val="1"/>
      </rPr>
      <t xml:space="preserve">IT </t>
    </r>
    <r>
      <rPr>
        <sz val="10"/>
        <rFont val="Noto Sans CJK SC"/>
        <family val="2"/>
      </rPr>
      <t xml:space="preserve">現場提供的主機／路徑清單</t>
    </r>
  </si>
  <si>
    <r>
      <rPr>
        <sz val="10"/>
        <rFont val="Arial"/>
        <family val="0"/>
        <charset val="1"/>
      </rPr>
      <t xml:space="preserve">IT </t>
    </r>
    <r>
      <rPr>
        <sz val="10"/>
        <rFont val="Noto Sans CJK SC"/>
        <family val="2"/>
      </rPr>
      <t xml:space="preserve">的每日排程</t>
    </r>
  </si>
  <si>
    <r>
      <rPr>
        <sz val="10"/>
        <rFont val="Arial"/>
        <family val="0"/>
        <charset val="1"/>
      </rPr>
      <t xml:space="preserve">IT </t>
    </r>
    <r>
      <rPr>
        <sz val="10"/>
        <rFont val="Noto Sans CJK SC"/>
        <family val="2"/>
      </rPr>
      <t xml:space="preserve">列不出來→先設 </t>
    </r>
    <r>
      <rPr>
        <sz val="10"/>
        <rFont val="Arial"/>
        <family val="0"/>
        <charset val="1"/>
      </rPr>
      <t xml:space="preserve">L1-12 </t>
    </r>
    <r>
      <rPr>
        <sz val="10"/>
        <rFont val="Noto Sans CJK SC"/>
        <family val="2"/>
      </rPr>
      <t xml:space="preserve">待辦排序當每日排程，監看清單列入 </t>
    </r>
    <r>
      <rPr>
        <sz val="10"/>
        <rFont val="Arial"/>
        <family val="0"/>
        <charset val="1"/>
      </rPr>
      <t xml:space="preserve">D+7 </t>
    </r>
    <r>
      <rPr>
        <sz val="10"/>
        <rFont val="Noto Sans CJK SC"/>
        <family val="2"/>
      </rPr>
      <t xml:space="preserve">補</t>
    </r>
  </si>
  <si>
    <r>
      <rPr>
        <sz val="10"/>
        <rFont val="Noto Sans CJK SC"/>
        <family val="2"/>
      </rPr>
      <t xml:space="preserve">其他人依角色設每日排程（</t>
    </r>
    <r>
      <rPr>
        <sz val="10"/>
        <rFont val="Arial"/>
        <family val="0"/>
        <charset val="1"/>
      </rPr>
      <t xml:space="preserve">L1-01 </t>
    </r>
    <r>
      <rPr>
        <sz val="10"/>
        <rFont val="Noto Sans CJK SC"/>
        <family val="2"/>
      </rPr>
      <t xml:space="preserve">或 </t>
    </r>
    <r>
      <rPr>
        <sz val="10"/>
        <rFont val="Arial"/>
        <family val="0"/>
        <charset val="1"/>
      </rPr>
      <t xml:space="preserve">L1-12</t>
    </r>
    <r>
      <rPr>
        <sz val="10"/>
        <rFont val="Noto Sans CJK SC"/>
        <family val="2"/>
      </rPr>
      <t xml:space="preserve">）</t>
    </r>
  </si>
  <si>
    <t xml:space="preserve">《場景庫》總表讀法②可排程卡清單</t>
  </si>
  <si>
    <r>
      <rPr>
        <sz val="10"/>
        <rFont val="Noto Sans CJK SC"/>
        <family val="2"/>
      </rPr>
      <t xml:space="preserve">每人 ≥</t>
    </r>
    <r>
      <rPr>
        <sz val="10"/>
        <rFont val="Arial"/>
        <family val="0"/>
        <charset val="1"/>
      </rPr>
      <t xml:space="preserve">1 </t>
    </r>
    <r>
      <rPr>
        <sz val="10"/>
        <rFont val="Noto Sans CJK SC"/>
        <family val="2"/>
      </rPr>
      <t xml:space="preserve">每日排程</t>
    </r>
  </si>
  <si>
    <r>
      <rPr>
        <sz val="10"/>
        <rFont val="Noto Sans CJK SC"/>
        <family val="2"/>
      </rPr>
      <t xml:space="preserve">信箱權限未開→先設待辦落地，信件排程列入 </t>
    </r>
    <r>
      <rPr>
        <sz val="10"/>
        <rFont val="Arial"/>
        <family val="0"/>
        <charset val="1"/>
      </rPr>
      <t xml:space="preserve">D+7</t>
    </r>
  </si>
  <si>
    <r>
      <rPr>
        <sz val="10"/>
        <rFont val="Noto Sans CJK SC"/>
        <family val="2"/>
      </rPr>
      <t xml:space="preserve">再設第 </t>
    </r>
    <r>
      <rPr>
        <sz val="10"/>
        <rFont val="Arial"/>
        <family val="0"/>
        <charset val="1"/>
      </rPr>
      <t xml:space="preserve">2 </t>
    </r>
    <r>
      <rPr>
        <sz val="10"/>
        <rFont val="Noto Sans CJK SC"/>
        <family val="2"/>
      </rPr>
      <t xml:space="preserve">個排程（多為週排程 </t>
    </r>
    <r>
      <rPr>
        <sz val="10"/>
        <rFont val="Arial"/>
        <family val="0"/>
        <charset val="1"/>
      </rPr>
      <t xml:space="preserve">L1-06</t>
    </r>
    <r>
      <rPr>
        <sz val="10"/>
        <rFont val="Noto Sans CJK SC"/>
        <family val="2"/>
      </rPr>
      <t xml:space="preserve">／</t>
    </r>
    <r>
      <rPr>
        <sz val="10"/>
        <rFont val="Arial"/>
        <family val="0"/>
        <charset val="1"/>
      </rPr>
      <t xml:space="preserve">L2-SEC-06</t>
    </r>
    <r>
      <rPr>
        <sz val="10"/>
        <rFont val="Noto Sans CJK SC"/>
        <family val="2"/>
      </rPr>
      <t xml:space="preserve">），確認產出去向落到信箱或待辦</t>
    </r>
  </si>
  <si>
    <t xml:space="preserve">客戶收信習慣</t>
  </si>
  <si>
    <r>
      <rPr>
        <sz val="10"/>
        <rFont val="Noto Sans CJK SC"/>
        <family val="2"/>
      </rPr>
      <t xml:space="preserve">每人 ≥</t>
    </r>
    <r>
      <rPr>
        <sz val="10"/>
        <rFont val="Arial"/>
        <family val="0"/>
        <charset val="1"/>
      </rPr>
      <t xml:space="preserve">2 </t>
    </r>
    <r>
      <rPr>
        <sz val="10"/>
        <rFont val="Noto Sans CJK SC"/>
        <family val="2"/>
      </rPr>
      <t xml:space="preserve">排程</t>
    </r>
  </si>
  <si>
    <t xml:space="preserve">逐個排程當場算月預估點數，寫在《場景卡選用紀錄》</t>
  </si>
  <si>
    <t xml:space="preserve">點數估算表（尚未建立）、客戶訂閱點數配額</t>
  </si>
  <si>
    <t xml:space="preserve">每個排程的月預估點數</t>
  </si>
  <si>
    <r>
      <rPr>
        <sz val="10"/>
        <rFont val="Noto Sans CJK SC"/>
        <family val="2"/>
      </rPr>
      <t xml:space="preserve">估算表未建立→只給區間並明說是估算值，承諾 </t>
    </r>
    <r>
      <rPr>
        <sz val="10"/>
        <rFont val="Arial"/>
        <family val="0"/>
        <charset val="1"/>
      </rPr>
      <t xml:space="preserve">D+7 </t>
    </r>
    <r>
      <rPr>
        <sz val="10"/>
        <rFont val="Noto Sans CJK SC"/>
        <family val="2"/>
      </rPr>
      <t xml:space="preserve">給實際數字</t>
    </r>
  </si>
  <si>
    <t xml:space="preserve">當場示範怎麼關掉一個排程，請客戶自己操作一次</t>
  </si>
  <si>
    <t xml:space="preserve">平台排程關閉路徑</t>
  </si>
  <si>
    <r>
      <rPr>
        <sz val="10"/>
        <rFont val="Noto Sans CJK SC"/>
        <family val="2"/>
      </rPr>
      <t xml:space="preserve">客戶已示範關閉 </t>
    </r>
    <r>
      <rPr>
        <sz val="10"/>
        <rFont val="Arial"/>
        <family val="0"/>
        <charset val="1"/>
      </rPr>
      <t xml:space="preserve">1 </t>
    </r>
    <r>
      <rPr>
        <sz val="10"/>
        <rFont val="Noto Sans CJK SC"/>
        <family val="2"/>
      </rPr>
      <t xml:space="preserve">次</t>
    </r>
  </si>
  <si>
    <r>
      <rPr>
        <b val="true"/>
        <sz val="10"/>
        <rFont val="Arial"/>
        <family val="0"/>
        <charset val="1"/>
      </rPr>
      <t xml:space="preserve">F </t>
    </r>
    <r>
      <rPr>
        <b val="true"/>
        <sz val="10"/>
        <rFont val="Noto Sans CJK SC"/>
        <family val="2"/>
      </rPr>
      <t xml:space="preserve">段（</t>
    </r>
    <r>
      <rPr>
        <b val="true"/>
        <sz val="10"/>
        <rFont val="Arial"/>
        <family val="0"/>
        <charset val="1"/>
      </rPr>
      <t xml:space="preserve">1.0H</t>
    </r>
    <r>
      <rPr>
        <b val="true"/>
        <sz val="10"/>
        <rFont val="Noto Sans CJK SC"/>
        <family val="2"/>
      </rPr>
      <t xml:space="preserve">）</t>
    </r>
  </si>
  <si>
    <r>
      <rPr>
        <sz val="10"/>
        <rFont val="Noto Sans CJK SC"/>
        <family val="2"/>
      </rPr>
      <t xml:space="preserve">依到場部門分組；製造業預設跑 </t>
    </r>
    <r>
      <rPr>
        <sz val="10"/>
        <rFont val="Arial"/>
        <family val="0"/>
        <charset val="1"/>
      </rPr>
      <t xml:space="preserve">L2-MIS </t>
    </r>
    <r>
      <rPr>
        <sz val="10"/>
        <rFont val="Noto Sans CJK SC"/>
        <family val="2"/>
      </rPr>
      <t xml:space="preserve">包，資安包只在有資安專責人員時排</t>
    </r>
  </si>
  <si>
    <t xml:space="preserve">客戶部門表</t>
  </si>
  <si>
    <t xml:space="preserve">分組名單</t>
  </si>
  <si>
    <r>
      <rPr>
        <sz val="10"/>
        <rFont val="Noto Sans CJK SC"/>
        <family val="2"/>
      </rPr>
      <t xml:space="preserve">只有 </t>
    </r>
    <r>
      <rPr>
        <sz val="10"/>
        <rFont val="Arial"/>
        <family val="0"/>
        <charset val="1"/>
      </rPr>
      <t xml:space="preserve">IT </t>
    </r>
    <r>
      <rPr>
        <sz val="10"/>
        <rFont val="Noto Sans CJK SC"/>
        <family val="2"/>
      </rPr>
      <t xml:space="preserve">到場→全程跑 </t>
    </r>
    <r>
      <rPr>
        <sz val="10"/>
        <rFont val="Arial"/>
        <family val="0"/>
        <charset val="1"/>
      </rPr>
      <t xml:space="preserve">MIS </t>
    </r>
    <r>
      <rPr>
        <sz val="10"/>
        <rFont val="Noto Sans CJK SC"/>
        <family val="2"/>
      </rPr>
      <t xml:space="preserve">包，時間分給 </t>
    </r>
    <r>
      <rPr>
        <sz val="10"/>
        <rFont val="Arial"/>
        <family val="0"/>
        <charset val="1"/>
      </rPr>
      <t xml:space="preserve">ERP </t>
    </r>
    <r>
      <rPr>
        <sz val="10"/>
        <rFont val="Noto Sans CJK SC"/>
        <family val="2"/>
      </rPr>
      <t xml:space="preserve">問答與 </t>
    </r>
    <r>
      <rPr>
        <sz val="10"/>
        <rFont val="Arial"/>
        <family val="0"/>
        <charset val="1"/>
      </rPr>
      <t xml:space="preserve">log</t>
    </r>
  </si>
  <si>
    <r>
      <rPr>
        <sz val="10"/>
        <rFont val="Noto Sans CJK SC"/>
        <family val="2"/>
      </rPr>
      <t xml:space="preserve">需掛知識庫的卡先確認文件已掛好（</t>
    </r>
    <r>
      <rPr>
        <sz val="10"/>
        <rFont val="Arial"/>
        <family val="0"/>
        <charset val="1"/>
      </rPr>
      <t xml:space="preserve">ERP </t>
    </r>
    <r>
      <rPr>
        <sz val="10"/>
        <rFont val="Noto Sans CJK SC"/>
        <family val="2"/>
      </rPr>
      <t xml:space="preserve">手冊／規章／費用規定／月結流程）</t>
    </r>
  </si>
  <si>
    <t xml:space="preserve">行前取得的客戶文件</t>
  </si>
  <si>
    <t xml:space="preserve">掛載確認</t>
  </si>
  <si>
    <r>
      <rPr>
        <sz val="10"/>
        <rFont val="Noto Sans CJK SC"/>
        <family val="2"/>
      </rPr>
      <t xml:space="preserve">文件未取得→跑該包其他卡，缺的列入 </t>
    </r>
    <r>
      <rPr>
        <sz val="10"/>
        <rFont val="Arial"/>
        <family val="0"/>
        <charset val="1"/>
      </rPr>
      <t xml:space="preserve">D+7 </t>
    </r>
    <r>
      <rPr>
        <sz val="10"/>
        <rFont val="Noto Sans CJK SC"/>
        <family val="2"/>
      </rPr>
      <t xml:space="preserve">補建</t>
    </r>
  </si>
  <si>
    <r>
      <rPr>
        <sz val="10"/>
        <rFont val="Noto Sans CJK SC"/>
        <family val="2"/>
      </rPr>
      <t xml:space="preserve">每人用該部門真實案例跑通 ≥</t>
    </r>
    <r>
      <rPr>
        <sz val="10"/>
        <rFont val="Arial"/>
        <family val="0"/>
        <charset val="1"/>
      </rPr>
      <t xml:space="preserve">2 </t>
    </r>
    <r>
      <rPr>
        <sz val="10"/>
        <rFont val="Noto Sans CJK SC"/>
        <family val="2"/>
      </rPr>
      <t xml:space="preserve">張</t>
    </r>
  </si>
  <si>
    <t xml:space="preserve">部門真實案例</t>
  </si>
  <si>
    <t xml:space="preserve">《場景卡選用紀錄》續填</t>
  </si>
  <si>
    <r>
      <rPr>
        <b val="true"/>
        <sz val="10"/>
        <rFont val="Arial"/>
        <family val="0"/>
        <charset val="1"/>
      </rPr>
      <t xml:space="preserve">G </t>
    </r>
    <r>
      <rPr>
        <b val="true"/>
        <sz val="10"/>
        <rFont val="Noto Sans CJK SC"/>
        <family val="2"/>
      </rPr>
      <t xml:space="preserve">段（</t>
    </r>
    <r>
      <rPr>
        <b val="true"/>
        <sz val="10"/>
        <rFont val="Arial"/>
        <family val="0"/>
        <charset val="1"/>
      </rPr>
      <t xml:space="preserve">0.25H</t>
    </r>
    <r>
      <rPr>
        <b val="true"/>
        <sz val="10"/>
        <rFont val="Noto Sans CJK SC"/>
        <family val="2"/>
      </rPr>
      <t xml:space="preserve">）</t>
    </r>
  </si>
  <si>
    <r>
      <rPr>
        <sz val="10"/>
        <rFont val="Noto Sans CJK SC"/>
        <family val="2"/>
      </rPr>
      <t xml:space="preserve">請課級主管當場承諾：每週部門會議花 </t>
    </r>
    <r>
      <rPr>
        <sz val="10"/>
        <rFont val="Arial"/>
        <family val="0"/>
        <charset val="1"/>
      </rPr>
      <t xml:space="preserve">5 </t>
    </r>
    <r>
      <rPr>
        <sz val="10"/>
        <rFont val="Noto Sans CJK SC"/>
        <family val="2"/>
      </rPr>
      <t xml:space="preserve">分鐘指定一人 </t>
    </r>
    <r>
      <rPr>
        <sz val="10"/>
        <rFont val="Arial"/>
        <family val="0"/>
        <charset val="1"/>
      </rPr>
      <t xml:space="preserve">demo</t>
    </r>
  </si>
  <si>
    <t xml:space="preserve">口頭承諾紀錄</t>
  </si>
  <si>
    <r>
      <rPr>
        <sz val="10"/>
        <rFont val="Noto Sans CJK SC"/>
        <family val="2"/>
      </rPr>
      <t xml:space="preserve">主管不在→改由窗口轉達，並在 </t>
    </r>
    <r>
      <rPr>
        <sz val="10"/>
        <rFont val="Arial"/>
        <family val="0"/>
        <charset val="1"/>
      </rPr>
      <t xml:space="preserve">D+14 </t>
    </r>
    <r>
      <rPr>
        <sz val="10"/>
        <rFont val="Noto Sans CJK SC"/>
        <family val="2"/>
      </rPr>
      <t xml:space="preserve">直接聯繫主管確認</t>
    </r>
  </si>
  <si>
    <r>
      <rPr>
        <sz val="10"/>
        <rFont val="Noto Sans CJK SC"/>
        <family val="2"/>
      </rPr>
      <t xml:space="preserve">發《週會 </t>
    </r>
    <r>
      <rPr>
        <sz val="10"/>
        <rFont val="Arial"/>
        <family val="0"/>
        <charset val="1"/>
      </rPr>
      <t xml:space="preserve">5 </t>
    </r>
    <r>
      <rPr>
        <sz val="10"/>
        <rFont val="Noto Sans CJK SC"/>
        <family val="2"/>
      </rPr>
      <t xml:space="preserve">分鐘 </t>
    </r>
    <r>
      <rPr>
        <sz val="10"/>
        <rFont val="Arial"/>
        <family val="0"/>
        <charset val="1"/>
      </rPr>
      <t xml:space="preserve">demo </t>
    </r>
    <r>
      <rPr>
        <sz val="10"/>
        <rFont val="Noto Sans CJK SC"/>
        <family val="2"/>
      </rPr>
      <t xml:space="preserve">引導單》，並從當日選用紀錄挑 </t>
    </r>
    <r>
      <rPr>
        <sz val="10"/>
        <rFont val="Arial"/>
        <family val="0"/>
        <charset val="1"/>
      </rPr>
      <t xml:space="preserve">3 </t>
    </r>
    <r>
      <rPr>
        <sz val="10"/>
        <rFont val="Noto Sans CJK SC"/>
        <family val="2"/>
      </rPr>
      <t xml:space="preserve">個 </t>
    </r>
    <r>
      <rPr>
        <sz val="10"/>
        <rFont val="Arial"/>
        <family val="0"/>
        <charset val="1"/>
      </rPr>
      <t xml:space="preserve">demo </t>
    </r>
    <r>
      <rPr>
        <sz val="10"/>
        <rFont val="Noto Sans CJK SC"/>
        <family val="2"/>
      </rPr>
      <t xml:space="preserve">題材寫上去</t>
    </r>
  </si>
  <si>
    <t xml:space="preserve">引導單（尚未製作）、當日《場景卡選用紀錄》</t>
  </si>
  <si>
    <t xml:space="preserve">引導單簽收</t>
  </si>
  <si>
    <t xml:space="preserve">引導單未製作→手寫三個題材給主管，列為前置缺口</t>
  </si>
  <si>
    <r>
      <rPr>
        <b val="true"/>
        <sz val="10"/>
        <rFont val="Arial"/>
        <family val="0"/>
        <charset val="1"/>
      </rPr>
      <t xml:space="preserve">H </t>
    </r>
    <r>
      <rPr>
        <b val="true"/>
        <sz val="10"/>
        <rFont val="Noto Sans CJK SC"/>
        <family val="2"/>
      </rPr>
      <t xml:space="preserve">段（</t>
    </r>
    <r>
      <rPr>
        <b val="true"/>
        <sz val="10"/>
        <rFont val="Arial"/>
        <family val="0"/>
        <charset val="1"/>
      </rPr>
      <t xml:space="preserve">1.0H</t>
    </r>
    <r>
      <rPr>
        <b val="true"/>
        <sz val="10"/>
        <rFont val="Noto Sans CJK SC"/>
        <family val="2"/>
      </rPr>
      <t xml:space="preserve">）</t>
    </r>
  </si>
  <si>
    <r>
      <rPr>
        <sz val="10"/>
        <rFont val="Noto Sans CJK SC"/>
        <family val="2"/>
      </rPr>
      <t xml:space="preserve">核心 </t>
    </r>
    <r>
      <rPr>
        <sz val="10"/>
        <rFont val="Arial"/>
        <family val="0"/>
        <charset val="1"/>
      </rPr>
      <t xml:space="preserve">2 </t>
    </r>
    <r>
      <rPr>
        <sz val="10"/>
        <rFont val="Noto Sans CJK SC"/>
        <family val="2"/>
      </rPr>
      <t xml:space="preserve">人各 </t>
    </r>
    <r>
      <rPr>
        <sz val="10"/>
        <rFont val="Arial"/>
        <family val="0"/>
        <charset val="1"/>
      </rPr>
      <t xml:space="preserve">20 </t>
    </r>
    <r>
      <rPr>
        <sz val="10"/>
        <rFont val="Noto Sans CJK SC"/>
        <family val="2"/>
      </rPr>
      <t xml:space="preserve">分鐘，逐項核 </t>
    </r>
    <r>
      <rPr>
        <sz val="10"/>
        <rFont val="Arial"/>
        <family val="0"/>
        <charset val="1"/>
      </rPr>
      <t xml:space="preserve">6 </t>
    </r>
    <r>
      <rPr>
        <sz val="10"/>
        <rFont val="Noto Sans CJK SC"/>
        <family val="2"/>
      </rPr>
      <t xml:space="preserve">項（卡數／自建卡／排程數／每日排程／個人記憶／點數已揭露）</t>
    </r>
  </si>
  <si>
    <t xml:space="preserve">《逐人檢核表》、後台對話紀錄、定期任務清單、分身設定頁</t>
  </si>
  <si>
    <t xml:space="preserve">已填檢核表</t>
  </si>
  <si>
    <t xml:space="preserve">未過→當場約線上補訓時間，寫進表內，不寫成交付未完成</t>
  </si>
  <si>
    <r>
      <rPr>
        <sz val="10"/>
        <rFont val="Noto Sans CJK SC"/>
        <family val="2"/>
      </rPr>
      <t xml:space="preserve">擴散 </t>
    </r>
    <r>
      <rPr>
        <sz val="10"/>
        <rFont val="Arial"/>
        <family val="0"/>
        <charset val="1"/>
      </rPr>
      <t xml:space="preserve">4-6 </t>
    </r>
    <r>
      <rPr>
        <sz val="10"/>
        <rFont val="Noto Sans CJK SC"/>
        <family val="2"/>
      </rPr>
      <t xml:space="preserve">人各 </t>
    </r>
    <r>
      <rPr>
        <sz val="10"/>
        <rFont val="Arial"/>
        <family val="0"/>
        <charset val="1"/>
      </rPr>
      <t xml:space="preserve">3-5 </t>
    </r>
    <r>
      <rPr>
        <sz val="10"/>
        <rFont val="Noto Sans CJK SC"/>
        <family val="2"/>
      </rPr>
      <t xml:space="preserve">分鐘，只核『</t>
    </r>
    <r>
      <rPr>
        <sz val="10"/>
        <rFont val="Arial"/>
        <family val="0"/>
        <charset val="1"/>
      </rPr>
      <t xml:space="preserve">1 </t>
    </r>
    <r>
      <rPr>
        <sz val="10"/>
        <rFont val="Noto Sans CJK SC"/>
        <family val="2"/>
      </rPr>
      <t xml:space="preserve">張卡跑通』</t>
    </r>
  </si>
  <si>
    <t xml:space="preserve">《逐人檢核表》擴散列</t>
  </si>
  <si>
    <t xml:space="preserve">擴散檢核結果</t>
  </si>
  <si>
    <r>
      <rPr>
        <sz val="10"/>
        <rFont val="Noto Sans CJK SC"/>
        <family val="2"/>
      </rPr>
      <t xml:space="preserve">發《客戶專屬菜單手冊》＋線上場景庫 </t>
    </r>
    <r>
      <rPr>
        <sz val="10"/>
        <rFont val="Arial"/>
        <family val="0"/>
        <charset val="1"/>
      </rPr>
      <t xml:space="preserve">QR</t>
    </r>
    <r>
      <rPr>
        <sz val="10"/>
        <rFont val="Noto Sans CJK SC"/>
        <family val="2"/>
      </rPr>
      <t xml:space="preserve">，並簽收</t>
    </r>
  </si>
  <si>
    <t xml:space="preserve">手冊（尚未製作）</t>
  </si>
  <si>
    <t xml:space="preserve">簽收紀錄</t>
  </si>
  <si>
    <t xml:space="preserve">手冊未製作→列印《客戶專屬菜單清單》代替，列為前置缺口</t>
  </si>
  <si>
    <t xml:space="preserve">確認三項交付成立要件都齊：核心全過＋兩份文件簽認</t>
  </si>
  <si>
    <r>
      <rPr>
        <sz val="10"/>
        <rFont val="Noto Sans CJK SC"/>
        <family val="2"/>
      </rPr>
      <t xml:space="preserve">段 </t>
    </r>
    <r>
      <rPr>
        <sz val="10"/>
        <rFont val="Arial"/>
        <family val="0"/>
        <charset val="1"/>
      </rPr>
      <t xml:space="preserve">0 </t>
    </r>
    <r>
      <rPr>
        <sz val="10"/>
        <rFont val="Noto Sans CJK SC"/>
        <family val="2"/>
      </rPr>
      <t xml:space="preserve">的兩份簽認文件＋檢核表</t>
    </r>
  </si>
  <si>
    <t xml:space="preserve">交付成立確認</t>
  </si>
  <si>
    <t xml:space="preserve">任一未齊→當場記錄未齊項與補齊日</t>
  </si>
  <si>
    <t xml:space="preserve">撈後台數據：週活躍、人均對話、排程成功率、排程產出開啟率</t>
  </si>
  <si>
    <r>
      <rPr>
        <sz val="10"/>
        <rFont val="Noto Sans CJK SC"/>
        <family val="2"/>
      </rPr>
      <t xml:space="preserve">平台後台（可撈性待確認 </t>
    </r>
    <r>
      <rPr>
        <sz val="10"/>
        <rFont val="Arial"/>
        <family val="0"/>
        <charset val="1"/>
      </rPr>
      <t xml:space="preserve">#1</t>
    </r>
    <r>
      <rPr>
        <sz val="10"/>
        <rFont val="Noto Sans CJK SC"/>
        <family val="2"/>
      </rPr>
      <t xml:space="preserve">）</t>
    </r>
  </si>
  <si>
    <r>
      <rPr>
        <sz val="10"/>
        <rFont val="Arial"/>
        <family val="0"/>
        <charset val="1"/>
      </rPr>
      <t xml:space="preserve">D+7 </t>
    </r>
    <r>
      <rPr>
        <sz val="10"/>
        <rFont val="Noto Sans CJK SC"/>
        <family val="2"/>
      </rPr>
      <t xml:space="preserve">數據列</t>
    </r>
  </si>
  <si>
    <t xml:space="preserve">撈不到→由顧問電訪窗口回填，並標『主觀回填』</t>
  </si>
  <si>
    <r>
      <rPr>
        <sz val="10"/>
        <rFont val="Noto Sans CJK SC"/>
        <family val="2"/>
      </rPr>
      <t xml:space="preserve">寄排程點數回饋信：這週花了 </t>
    </r>
    <r>
      <rPr>
        <sz val="10"/>
        <rFont val="Arial"/>
        <family val="0"/>
        <charset val="1"/>
      </rPr>
      <t xml:space="preserve">X </t>
    </r>
    <r>
      <rPr>
        <sz val="10"/>
        <rFont val="Noto Sans CJK SC"/>
        <family val="2"/>
      </rPr>
      <t xml:space="preserve">點、你開了 </t>
    </r>
    <r>
      <rPr>
        <sz val="10"/>
        <rFont val="Arial"/>
        <family val="0"/>
        <charset val="1"/>
      </rPr>
      <t xml:space="preserve">Y </t>
    </r>
    <r>
      <rPr>
        <sz val="10"/>
        <rFont val="Noto Sans CJK SC"/>
        <family val="2"/>
      </rPr>
      <t xml:space="preserve">次</t>
    </r>
  </si>
  <si>
    <r>
      <rPr>
        <sz val="10"/>
        <rFont val="Noto Sans CJK SC"/>
        <family val="2"/>
      </rPr>
      <t xml:space="preserve">後台點數與開啟紀錄（待確認 </t>
    </r>
    <r>
      <rPr>
        <sz val="10"/>
        <rFont val="Arial"/>
        <family val="0"/>
        <charset val="1"/>
      </rPr>
      <t xml:space="preserve">#10</t>
    </r>
    <r>
      <rPr>
        <sz val="10"/>
        <rFont val="Noto Sans CJK SC"/>
        <family val="2"/>
      </rPr>
      <t xml:space="preserve">）</t>
    </r>
  </si>
  <si>
    <t xml:space="preserve">回饋信（每位核心成員）</t>
  </si>
  <si>
    <t xml:space="preserve">點數撈不到→只寄開啟次數，並說明點數數字待平台支援</t>
  </si>
  <si>
    <r>
      <rPr>
        <sz val="10"/>
        <rFont val="Noto Sans CJK SC"/>
        <family val="2"/>
      </rPr>
      <t xml:space="preserve">對未達標者做 </t>
    </r>
    <r>
      <rPr>
        <sz val="10"/>
        <rFont val="Arial"/>
        <family val="0"/>
        <charset val="1"/>
      </rPr>
      <t xml:space="preserve">15 </t>
    </r>
    <r>
      <rPr>
        <sz val="10"/>
        <rFont val="Noto Sans CJK SC"/>
        <family val="2"/>
      </rPr>
      <t xml:space="preserve">分鐘線上一對一，補跑 </t>
    </r>
    <r>
      <rPr>
        <sz val="10"/>
        <rFont val="Arial"/>
        <family val="0"/>
        <charset val="1"/>
      </rPr>
      <t xml:space="preserve">1 </t>
    </r>
    <r>
      <rPr>
        <sz val="10"/>
        <rFont val="Noto Sans CJK SC"/>
        <family val="2"/>
      </rPr>
      <t xml:space="preserve">張卡</t>
    </r>
  </si>
  <si>
    <r>
      <rPr>
        <sz val="10"/>
        <rFont val="Noto Sans CJK SC"/>
        <family val="2"/>
      </rPr>
      <t xml:space="preserve">《場景卡選用紀錄》、</t>
    </r>
    <r>
      <rPr>
        <sz val="10"/>
        <rFont val="Arial"/>
        <family val="0"/>
        <charset val="1"/>
      </rPr>
      <t xml:space="preserve">D+7 </t>
    </r>
    <r>
      <rPr>
        <sz val="10"/>
        <rFont val="Noto Sans CJK SC"/>
        <family val="2"/>
      </rPr>
      <t xml:space="preserve">數據</t>
    </r>
  </si>
  <si>
    <t xml:space="preserve">補跑紀錄</t>
  </si>
  <si>
    <t xml:space="preserve">查自建卡數、用量是否衰退</t>
  </si>
  <si>
    <t xml:space="preserve">租戶技能清單、用量統計表</t>
  </si>
  <si>
    <r>
      <rPr>
        <sz val="10"/>
        <rFont val="Arial"/>
        <family val="0"/>
        <charset val="1"/>
      </rPr>
      <t xml:space="preserve">D+14 </t>
    </r>
    <r>
      <rPr>
        <sz val="10"/>
        <rFont val="Noto Sans CJK SC"/>
        <family val="2"/>
      </rPr>
      <t xml:space="preserve">數據列</t>
    </r>
  </si>
  <si>
    <r>
      <rPr>
        <sz val="10"/>
        <rFont val="Noto Sans CJK SC"/>
        <family val="2"/>
      </rPr>
      <t xml:space="preserve">直接聯繫主管（不是窗口）確認週會 </t>
    </r>
    <r>
      <rPr>
        <sz val="10"/>
        <rFont val="Arial"/>
        <family val="0"/>
        <charset val="1"/>
      </rPr>
      <t xml:space="preserve">demo </t>
    </r>
    <r>
      <rPr>
        <sz val="10"/>
        <rFont val="Noto Sans CJK SC"/>
        <family val="2"/>
      </rPr>
      <t xml:space="preserve">有沒有跑過一次</t>
    </r>
  </si>
  <si>
    <r>
      <rPr>
        <sz val="10"/>
        <rFont val="Arial"/>
        <family val="0"/>
        <charset val="1"/>
      </rPr>
      <t xml:space="preserve">G </t>
    </r>
    <r>
      <rPr>
        <sz val="10"/>
        <rFont val="Noto Sans CJK SC"/>
        <family val="2"/>
      </rPr>
      <t xml:space="preserve">段承諾紀錄</t>
    </r>
  </si>
  <si>
    <t xml:space="preserve">主管確認</t>
  </si>
  <si>
    <r>
      <rPr>
        <sz val="10"/>
        <rFont val="Noto Sans CJK SC"/>
        <family val="2"/>
      </rPr>
      <t xml:space="preserve">沒跑→協助設計第一次 </t>
    </r>
    <r>
      <rPr>
        <sz val="10"/>
        <rFont val="Arial"/>
        <family val="0"/>
        <charset val="1"/>
      </rPr>
      <t xml:space="preserve">demo</t>
    </r>
    <r>
      <rPr>
        <sz val="10"/>
        <rFont val="Noto Sans CJK SC"/>
        <family val="2"/>
      </rPr>
      <t xml:space="preserve">，題材從選用紀錄挑</t>
    </r>
  </si>
  <si>
    <t xml:space="preserve">撈月活躍、月用量／訂閱點數、未交付同仁使用人數</t>
  </si>
  <si>
    <t xml:space="preserve">平台後台、用量統計表、訂閱方案</t>
  </si>
  <si>
    <r>
      <rPr>
        <sz val="10"/>
        <rFont val="Arial"/>
        <family val="0"/>
        <charset val="1"/>
      </rPr>
      <t xml:space="preserve">D+30 </t>
    </r>
    <r>
      <rPr>
        <sz val="10"/>
        <rFont val="Noto Sans CJK SC"/>
        <family val="2"/>
      </rPr>
      <t xml:space="preserve">數據列</t>
    </r>
  </si>
  <si>
    <r>
      <rPr>
        <sz val="10"/>
        <rFont val="Noto Sans CJK SC"/>
        <family val="2"/>
      </rPr>
      <t xml:space="preserve">啟動客製分類的顧問輔導：用客戶累積 </t>
    </r>
    <r>
      <rPr>
        <sz val="10"/>
        <rFont val="Arial"/>
        <family val="0"/>
        <charset val="1"/>
      </rPr>
      <t xml:space="preserve">2-4 </t>
    </r>
    <r>
      <rPr>
        <sz val="10"/>
        <rFont val="Noto Sans CJK SC"/>
        <family val="2"/>
      </rPr>
      <t xml:space="preserve">週的真實信件樣本設計分類規則</t>
    </r>
  </si>
  <si>
    <t xml:space="preserve">客戶真實信件樣本（此時才有）</t>
  </si>
  <si>
    <t xml:space="preserve">客製分類規則草稿</t>
  </si>
  <si>
    <t xml:space="preserve">客戶不願提供樣本→改用他自己描述的分類邏輯</t>
  </si>
  <si>
    <t xml:space="preserve">⚠️ 目前『卡關時怎麼辦』欄中，被標為「尚未建立／尚未製作」的四項是真實前置缺口：</t>
  </si>
  <si>
    <r>
      <rPr>
        <sz val="10"/>
        <rFont val="Noto Sans CJK SC"/>
        <family val="2"/>
      </rPr>
      <t xml:space="preserve">① 點數估算表（</t>
    </r>
    <r>
      <rPr>
        <sz val="10"/>
        <rFont val="Arial"/>
        <family val="0"/>
        <charset val="1"/>
      </rPr>
      <t xml:space="preserve">E </t>
    </r>
    <r>
      <rPr>
        <sz val="10"/>
        <rFont val="Noto Sans CJK SC"/>
        <family val="2"/>
      </rPr>
      <t xml:space="preserve">段第 </t>
    </r>
    <r>
      <rPr>
        <sz val="10"/>
        <rFont val="Arial"/>
        <family val="0"/>
        <charset val="1"/>
      </rPr>
      <t xml:space="preserve">4 </t>
    </r>
    <r>
      <rPr>
        <sz val="10"/>
        <rFont val="Noto Sans CJK SC"/>
        <family val="2"/>
      </rPr>
      <t xml:space="preserve">步）　② 場景精靈技能（</t>
    </r>
    <r>
      <rPr>
        <sz val="10"/>
        <rFont val="Arial"/>
        <family val="0"/>
        <charset val="1"/>
      </rPr>
      <t xml:space="preserve">D </t>
    </r>
    <r>
      <rPr>
        <sz val="10"/>
        <rFont val="Noto Sans CJK SC"/>
        <family val="2"/>
      </rPr>
      <t xml:space="preserve">段第 </t>
    </r>
    <r>
      <rPr>
        <sz val="10"/>
        <rFont val="Arial"/>
        <family val="0"/>
        <charset val="1"/>
      </rPr>
      <t xml:space="preserve">1 </t>
    </r>
    <r>
      <rPr>
        <sz val="10"/>
        <rFont val="Noto Sans CJK SC"/>
        <family val="2"/>
      </rPr>
      <t xml:space="preserve">步）　③ 週會 </t>
    </r>
    <r>
      <rPr>
        <sz val="10"/>
        <rFont val="Arial"/>
        <family val="0"/>
        <charset val="1"/>
      </rPr>
      <t xml:space="preserve">demo </t>
    </r>
    <r>
      <rPr>
        <sz val="10"/>
        <rFont val="Noto Sans CJK SC"/>
        <family val="2"/>
      </rPr>
      <t xml:space="preserve">引導單（</t>
    </r>
    <r>
      <rPr>
        <sz val="10"/>
        <rFont val="Arial"/>
        <family val="0"/>
        <charset val="1"/>
      </rPr>
      <t xml:space="preserve">G </t>
    </r>
    <r>
      <rPr>
        <sz val="10"/>
        <rFont val="Noto Sans CJK SC"/>
        <family val="2"/>
      </rPr>
      <t xml:space="preserve">段第 </t>
    </r>
    <r>
      <rPr>
        <sz val="10"/>
        <rFont val="Arial"/>
        <family val="0"/>
        <charset val="1"/>
      </rPr>
      <t xml:space="preserve">2 </t>
    </r>
    <r>
      <rPr>
        <sz val="10"/>
        <rFont val="Noto Sans CJK SC"/>
        <family val="2"/>
      </rPr>
      <t xml:space="preserve">步）　④ 客戶專屬菜單手冊（</t>
    </r>
    <r>
      <rPr>
        <sz val="10"/>
        <rFont val="Arial"/>
        <family val="0"/>
        <charset val="1"/>
      </rPr>
      <t xml:space="preserve">H </t>
    </r>
    <r>
      <rPr>
        <sz val="10"/>
        <rFont val="Noto Sans CJK SC"/>
        <family val="2"/>
      </rPr>
      <t xml:space="preserve">段第 </t>
    </r>
    <r>
      <rPr>
        <sz val="10"/>
        <rFont val="Arial"/>
        <family val="0"/>
        <charset val="1"/>
      </rPr>
      <t xml:space="preserve">3 </t>
    </r>
    <r>
      <rPr>
        <sz val="10"/>
        <rFont val="Noto Sans CJK SC"/>
        <family val="2"/>
      </rPr>
      <t xml:space="preserve">步）</t>
    </r>
  </si>
  <si>
    <t xml:space="preserve">四項都有替代做法可以不停擺，但都會降低該段品質。建議在第一家試跑前至少補齊 ③ 與 ④（不需開發，只需製作文件）。</t>
  </si>
  <si>
    <r>
      <rPr>
        <b val="true"/>
        <sz val="13"/>
        <color rgb="FF1F3864"/>
        <rFont val="Noto Sans CJK SC"/>
        <family val="2"/>
      </rPr>
      <t xml:space="preserve">放行清單：第一家試跑前必須完成（來源：交付團隊可行性驗證 </t>
    </r>
    <r>
      <rPr>
        <b val="true"/>
        <sz val="13"/>
        <color rgb="FF1F3864"/>
        <rFont val="Arial"/>
        <family val="0"/>
        <charset val="1"/>
      </rPr>
      <t xml:space="preserve">20260908</t>
    </r>
    <r>
      <rPr>
        <b val="true"/>
        <sz val="13"/>
        <color rgb="FF1F3864"/>
        <rFont val="Noto Sans CJK SC"/>
        <family val="2"/>
      </rPr>
      <t xml:space="preserve">）</t>
    </r>
  </si>
  <si>
    <r>
      <rPr>
        <i val="true"/>
        <sz val="9"/>
        <color rgb="FFC00000"/>
        <rFont val="Noto Sans CJK SC"/>
        <family val="2"/>
      </rPr>
      <t xml:space="preserve">驗證結論：有條件可行。以下四項不做就不要排客戶——且都不需要等平台開發，合計 </t>
    </r>
    <r>
      <rPr>
        <i val="true"/>
        <sz val="9"/>
        <color rgb="FFC00000"/>
        <rFont val="Arial"/>
        <family val="0"/>
        <charset val="1"/>
      </rPr>
      <t xml:space="preserve">9 </t>
    </r>
    <r>
      <rPr>
        <i val="true"/>
        <sz val="9"/>
        <color rgb="FFC00000"/>
        <rFont val="Noto Sans CJK SC"/>
        <family val="2"/>
      </rPr>
      <t xml:space="preserve">小時。</t>
    </r>
  </si>
  <si>
    <t xml:space="preserve">類別</t>
  </si>
  <si>
    <t xml:space="preserve">誰做</t>
  </si>
  <si>
    <t xml:space="preserve">工時</t>
  </si>
  <si>
    <t xml:space="preserve">為什麼</t>
  </si>
  <si>
    <r>
      <rPr>
        <b val="true"/>
        <sz val="10"/>
        <color rgb="FFFFFFFF"/>
        <rFont val="Noto Sans CJK SC"/>
        <family val="2"/>
      </rPr>
      <t xml:space="preserve">完成</t>
    </r>
    <r>
      <rPr>
        <b val="true"/>
        <sz val="10"/>
        <color rgb="FFFFFFFF"/>
        <rFont val="Arial"/>
        <family val="0"/>
        <charset val="1"/>
      </rPr>
      <t xml:space="preserve">(1/0)</t>
    </r>
  </si>
  <si>
    <t xml:space="preserve">必須</t>
  </si>
  <si>
    <t xml:space="preserve">《資料落地與管制說明》誠實版定版：逐項寫做得到／做不到＋做不到時的替代管制</t>
  </si>
  <si>
    <t xml:space="preserve">產品＋交付顧問</t>
  </si>
  <si>
    <t xml:space="preserve">4H</t>
  </si>
  <si>
    <r>
      <rPr>
        <sz val="10"/>
        <rFont val="Noto Sans CJK SC"/>
        <family val="2"/>
      </rPr>
      <t xml:space="preserve">段 </t>
    </r>
    <r>
      <rPr>
        <sz val="10"/>
        <rFont val="Arial"/>
        <family val="0"/>
        <charset val="1"/>
      </rPr>
      <t xml:space="preserve">0 </t>
    </r>
    <r>
      <rPr>
        <sz val="10"/>
        <rFont val="Noto Sans CJK SC"/>
        <family val="2"/>
      </rPr>
      <t xml:space="preserve">是交付成立要件；沒有這份文件，每一家的交付在定義上都不成立。含糊的說明不能簽，誠實的說明可以簽</t>
    </r>
  </si>
  <si>
    <r>
      <rPr>
        <sz val="10"/>
        <rFont val="Noto Sans CJK SC"/>
        <family val="2"/>
      </rPr>
      <t xml:space="preserve">《排程點數速查表》：</t>
    </r>
    <r>
      <rPr>
        <sz val="10"/>
        <rFont val="Arial"/>
        <family val="0"/>
        <charset val="1"/>
      </rPr>
      <t xml:space="preserve">8 </t>
    </r>
    <r>
      <rPr>
        <sz val="10"/>
        <rFont val="Noto Sans CJK SC"/>
        <family val="2"/>
      </rPr>
      <t xml:space="preserve">張可排程卡在內測租戶各實測 </t>
    </r>
    <r>
      <rPr>
        <sz val="10"/>
        <rFont val="Arial"/>
        <family val="0"/>
        <charset val="1"/>
      </rPr>
      <t xml:space="preserve">10 </t>
    </r>
    <r>
      <rPr>
        <sz val="10"/>
        <rFont val="Noto Sans CJK SC"/>
        <family val="2"/>
      </rPr>
      <t xml:space="preserve">次，記錄實際點數</t>
    </r>
  </si>
  <si>
    <r>
      <rPr>
        <sz val="10"/>
        <rFont val="Arial"/>
        <family val="0"/>
        <charset val="1"/>
      </rPr>
      <t xml:space="preserve">P5 </t>
    </r>
    <r>
      <rPr>
        <sz val="10"/>
        <rFont val="Noto Sans CJK SC"/>
        <family val="2"/>
      </rPr>
      <t xml:space="preserve">的整個目的是不含糊；用一句「大概啦」執行點數透明化，比不做還糟</t>
    </r>
  </si>
  <si>
    <r>
      <rPr>
        <sz val="10"/>
        <rFont val="Noto Sans CJK SC"/>
        <family val="2"/>
      </rPr>
      <t xml:space="preserve">行前工時改列 </t>
    </r>
    <r>
      <rPr>
        <sz val="10"/>
        <rFont val="Arial"/>
        <family val="0"/>
        <charset val="1"/>
      </rPr>
      <t xml:space="preserve">4.0H </t>
    </r>
    <r>
      <rPr>
        <sz val="10"/>
        <rFont val="Noto Sans CJK SC"/>
        <family val="2"/>
      </rPr>
      <t xml:space="preserve">並獨立派工</t>
    </r>
  </si>
  <si>
    <t xml:space="preserve">交付主管</t>
  </si>
  <si>
    <t xml:space="preserve">0.5H</t>
  </si>
  <si>
    <t xml:space="preserve">低估會讓顧問跳過「逐張測試卡片」，現場才發現卡開不了，成本是行前的五倍</t>
  </si>
  <si>
    <r>
      <rPr>
        <sz val="10"/>
        <rFont val="Noto Sans CJK SC"/>
        <family val="2"/>
      </rPr>
      <t xml:space="preserve">擴散組上限改 </t>
    </r>
    <r>
      <rPr>
        <sz val="10"/>
        <rFont val="Arial"/>
        <family val="0"/>
        <charset val="1"/>
      </rPr>
      <t xml:space="preserve">4 </t>
    </r>
    <r>
      <rPr>
        <sz val="10"/>
        <rFont val="Noto Sans CJK SC"/>
        <family val="2"/>
      </rPr>
      <t xml:space="preserve">人（或 </t>
    </r>
    <r>
      <rPr>
        <sz val="10"/>
        <rFont val="Arial"/>
        <family val="0"/>
        <charset val="1"/>
      </rPr>
      <t xml:space="preserve">A </t>
    </r>
    <r>
      <rPr>
        <sz val="10"/>
        <rFont val="Noto Sans CJK SC"/>
        <family val="2"/>
      </rPr>
      <t xml:space="preserve">級客戶加派第二顧問）</t>
    </r>
  </si>
  <si>
    <r>
      <rPr>
        <sz val="10"/>
        <rFont val="Arial"/>
        <family val="0"/>
        <charset val="1"/>
      </rPr>
      <t xml:space="preserve">B</t>
    </r>
    <r>
      <rPr>
        <sz val="10"/>
        <rFont val="Noto Sans CJK SC"/>
        <family val="2"/>
      </rPr>
      <t xml:space="preserve">／</t>
    </r>
    <r>
      <rPr>
        <sz val="10"/>
        <rFont val="Arial"/>
        <family val="0"/>
        <charset val="1"/>
      </rPr>
      <t xml:space="preserve">C</t>
    </r>
    <r>
      <rPr>
        <sz val="10"/>
        <rFont val="Noto Sans CJK SC"/>
        <family val="2"/>
      </rPr>
      <t xml:space="preserve">／</t>
    </r>
    <r>
      <rPr>
        <sz val="10"/>
        <rFont val="Arial"/>
        <family val="0"/>
        <charset val="1"/>
      </rPr>
      <t xml:space="preserve">H </t>
    </r>
    <r>
      <rPr>
        <sz val="10"/>
        <rFont val="Noto Sans CJK SC"/>
        <family val="2"/>
      </rPr>
      <t xml:space="preserve">三段的時間預算目前不成立（</t>
    </r>
    <r>
      <rPr>
        <sz val="10"/>
        <rFont val="Arial"/>
        <family val="0"/>
        <charset val="1"/>
      </rPr>
      <t xml:space="preserve">8 </t>
    </r>
    <r>
      <rPr>
        <sz val="10"/>
        <rFont val="Noto Sans CJK SC"/>
        <family val="2"/>
      </rPr>
      <t xml:space="preserve">人時三段都做不到）</t>
    </r>
  </si>
  <si>
    <t xml:space="preserve">建議</t>
  </si>
  <si>
    <r>
      <rPr>
        <sz val="10"/>
        <rFont val="Noto Sans CJK SC"/>
        <family val="2"/>
      </rPr>
      <t xml:space="preserve">《週會 </t>
    </r>
    <r>
      <rPr>
        <sz val="10"/>
        <rFont val="Arial"/>
        <family val="0"/>
        <charset val="1"/>
      </rPr>
      <t xml:space="preserve">5 </t>
    </r>
    <r>
      <rPr>
        <sz val="10"/>
        <rFont val="Noto Sans CJK SC"/>
        <family val="2"/>
      </rPr>
      <t xml:space="preserve">分鐘 </t>
    </r>
    <r>
      <rPr>
        <sz val="10"/>
        <rFont val="Arial"/>
        <family val="0"/>
        <charset val="1"/>
      </rPr>
      <t xml:space="preserve">demo </t>
    </r>
    <r>
      <rPr>
        <sz val="10"/>
        <rFont val="Noto Sans CJK SC"/>
        <family val="2"/>
      </rPr>
      <t xml:space="preserve">引導單》一頁</t>
    </r>
  </si>
  <si>
    <t xml:space="preserve">1H</t>
  </si>
  <si>
    <r>
      <rPr>
        <sz val="10"/>
        <rFont val="Arial"/>
        <family val="0"/>
        <charset val="1"/>
      </rPr>
      <t xml:space="preserve">G </t>
    </r>
    <r>
      <rPr>
        <sz val="10"/>
        <rFont val="Noto Sans CJK SC"/>
        <family val="2"/>
      </rPr>
      <t xml:space="preserve">段目前無文件可發</t>
    </r>
  </si>
  <si>
    <r>
      <rPr>
        <sz val="10"/>
        <rFont val="Noto Sans CJK SC"/>
        <family val="2"/>
      </rPr>
      <t xml:space="preserve">《客戶專屬菜單手冊》模板（套 </t>
    </r>
    <r>
      <rPr>
        <sz val="10"/>
        <rFont val="Arial"/>
        <family val="0"/>
        <charset val="1"/>
      </rPr>
      <t xml:space="preserve">digiwin-brand</t>
    </r>
    <r>
      <rPr>
        <sz val="10"/>
        <rFont val="Noto Sans CJK SC"/>
        <family val="2"/>
      </rPr>
      <t xml:space="preserve">）</t>
    </r>
  </si>
  <si>
    <t xml:space="preserve">交付顧問＋設計</t>
  </si>
  <si>
    <t xml:space="preserve">3H</t>
  </si>
  <si>
    <r>
      <rPr>
        <sz val="10"/>
        <rFont val="Arial"/>
        <family val="0"/>
        <charset val="1"/>
      </rPr>
      <t xml:space="preserve">H </t>
    </r>
    <r>
      <rPr>
        <sz val="10"/>
        <rFont val="Noto Sans CJK SC"/>
        <family val="2"/>
      </rPr>
      <t xml:space="preserve">段目前只能列印菜單清單代替</t>
    </r>
  </si>
  <si>
    <t xml:space="preserve">《場景精靈引導卡》紙本＋示範影片</t>
  </si>
  <si>
    <r>
      <rPr>
        <sz val="10"/>
        <rFont val="Noto Sans CJK SC"/>
        <family val="2"/>
      </rPr>
      <t xml:space="preserve">精靈技能未開發前，</t>
    </r>
    <r>
      <rPr>
        <sz val="10"/>
        <rFont val="Arial"/>
        <family val="0"/>
        <charset val="1"/>
      </rPr>
      <t xml:space="preserve">D </t>
    </r>
    <r>
      <rPr>
        <sz val="10"/>
        <rFont val="Noto Sans CJK SC"/>
        <family val="2"/>
      </rPr>
      <t xml:space="preserve">段品質隨顧問浮動</t>
    </r>
  </si>
  <si>
    <r>
      <rPr>
        <sz val="10"/>
        <rFont val="Arial"/>
        <family val="0"/>
        <charset val="1"/>
      </rPr>
      <t xml:space="preserve">A </t>
    </r>
    <r>
      <rPr>
        <sz val="10"/>
        <rFont val="Noto Sans CJK SC"/>
        <family val="2"/>
      </rPr>
      <t xml:space="preserve">段安裝改前一日由技服完成的派工調整</t>
    </r>
  </si>
  <si>
    <t xml:space="preserve">安裝出狀況是常態，不應占用交付當天</t>
  </si>
  <si>
    <r>
      <rPr>
        <sz val="10"/>
        <rFont val="Arial"/>
        <family val="0"/>
        <charset val="1"/>
      </rPr>
      <t xml:space="preserve">ERP </t>
    </r>
    <r>
      <rPr>
        <sz val="10"/>
        <rFont val="Noto Sans CJK SC"/>
        <family val="2"/>
      </rPr>
      <t xml:space="preserve">客製說明改由內部 </t>
    </r>
    <r>
      <rPr>
        <sz val="10"/>
        <rFont val="Arial"/>
        <family val="0"/>
        <charset val="1"/>
      </rPr>
      <t xml:space="preserve">ERP </t>
    </r>
    <r>
      <rPr>
        <sz val="10"/>
        <rFont val="Noto Sans CJK SC"/>
        <family val="2"/>
      </rPr>
      <t xml:space="preserve">顧問提供的流程</t>
    </r>
  </si>
  <si>
    <r>
      <rPr>
        <sz val="10"/>
        <rFont val="Arial"/>
        <family val="0"/>
        <charset val="1"/>
      </rPr>
      <t xml:space="preserve">Eric </t>
    </r>
    <r>
      <rPr>
        <sz val="10"/>
        <rFont val="Noto Sans CJK SC"/>
        <family val="2"/>
      </rPr>
      <t xml:space="preserve">協調</t>
    </r>
  </si>
  <si>
    <t xml:space="preserve">向內拿比向客戶要快得多，且是我方獨有優勢</t>
  </si>
  <si>
    <r>
      <rPr>
        <sz val="10"/>
        <rFont val="Arial"/>
        <family val="0"/>
        <charset val="1"/>
      </rPr>
      <t xml:space="preserve">D+7 </t>
    </r>
    <r>
      <rPr>
        <sz val="10"/>
        <rFont val="Noto Sans CJK SC"/>
        <family val="2"/>
      </rPr>
      <t xml:space="preserve">回饋信與數據撈取自動化（用 </t>
    </r>
    <r>
      <rPr>
        <sz val="10"/>
        <rFont val="Arial"/>
        <family val="0"/>
        <charset val="1"/>
      </rPr>
      <t xml:space="preserve">AgentSpace </t>
    </r>
    <r>
      <rPr>
        <sz val="10"/>
        <rFont val="Noto Sans CJK SC"/>
        <family val="2"/>
      </rPr>
      <t xml:space="preserve">自己做）</t>
    </r>
  </si>
  <si>
    <r>
      <rPr>
        <sz val="10"/>
        <rFont val="Noto Sans CJK SC"/>
        <family val="2"/>
      </rPr>
      <t xml:space="preserve">一名顧問同時追 </t>
    </r>
    <r>
      <rPr>
        <sz val="10"/>
        <rFont val="Arial"/>
        <family val="0"/>
        <charset val="1"/>
      </rPr>
      <t xml:space="preserve">8-10 </t>
    </r>
    <r>
      <rPr>
        <sz val="10"/>
        <rFont val="Noto Sans CJK SC"/>
        <family val="2"/>
      </rPr>
      <t xml:space="preserve">家時，每週 </t>
    </r>
    <r>
      <rPr>
        <sz val="10"/>
        <rFont val="Arial"/>
        <family val="0"/>
        <charset val="1"/>
      </rPr>
      <t xml:space="preserve">20 </t>
    </r>
    <r>
      <rPr>
        <sz val="10"/>
        <rFont val="Noto Sans CJK SC"/>
        <family val="2"/>
      </rPr>
      <t xml:space="preserve">封回饋信＋</t>
    </r>
    <r>
      <rPr>
        <sz val="10"/>
        <rFont val="Arial"/>
        <family val="0"/>
        <charset val="1"/>
      </rPr>
      <t xml:space="preserve">40 </t>
    </r>
    <r>
      <rPr>
        <sz val="10"/>
        <rFont val="Noto Sans CJK SC"/>
        <family val="2"/>
      </rPr>
      <t xml:space="preserve">項數據撈取會壓垮追蹤期</t>
    </r>
  </si>
  <si>
    <r>
      <rPr>
        <b val="true"/>
        <sz val="10"/>
        <rFont val="Noto Sans CJK SC"/>
        <family val="2"/>
      </rPr>
      <t xml:space="preserve">必須項完成數（滿分 </t>
    </r>
    <r>
      <rPr>
        <b val="true"/>
        <sz val="10"/>
        <rFont val="Arial"/>
        <family val="0"/>
        <charset val="1"/>
      </rPr>
      <t xml:space="preserve">4</t>
    </r>
    <r>
      <rPr>
        <b val="true"/>
        <sz val="10"/>
        <rFont val="Noto Sans CJK SC"/>
        <family val="2"/>
      </rPr>
      <t xml:space="preserve">）</t>
    </r>
  </si>
  <si>
    <t xml:space="preserve">可以排第一家試跑了嗎？</t>
  </si>
  <si>
    <r>
      <rPr>
        <sz val="10"/>
        <color rgb="FF808080"/>
        <rFont val="Noto Sans CJK SC"/>
        <family val="2"/>
      </rPr>
      <t xml:space="preserve">其他驗證發現（已併入方法論 </t>
    </r>
    <r>
      <rPr>
        <sz val="10"/>
        <color rgb="FF808080"/>
        <rFont val="Arial"/>
        <family val="0"/>
        <charset val="1"/>
      </rPr>
      <t xml:space="preserve">v1.3 </t>
    </r>
    <r>
      <rPr>
        <sz val="10"/>
        <color rgb="FF808080"/>
        <rFont val="Noto Sans CJK SC"/>
        <family val="2"/>
      </rPr>
      <t xml:space="preserve">與本表）：單家工時 </t>
    </r>
    <r>
      <rPr>
        <sz val="10"/>
        <color rgb="FF808080"/>
        <rFont val="Arial"/>
        <family val="0"/>
        <charset val="1"/>
      </rPr>
      <t xml:space="preserve">11.5H→14.0H</t>
    </r>
    <r>
      <rPr>
        <sz val="10"/>
        <color rgb="FF808080"/>
        <rFont val="Noto Sans CJK SC"/>
        <family val="2"/>
      </rPr>
      <t xml:space="preserve">、</t>
    </r>
    <r>
      <rPr>
        <sz val="10"/>
        <color rgb="FF808080"/>
        <rFont val="Arial"/>
        <family val="0"/>
        <charset val="1"/>
      </rPr>
      <t xml:space="preserve">105 </t>
    </r>
    <r>
      <rPr>
        <sz val="10"/>
        <color rgb="FF808080"/>
        <rFont val="Noto Sans CJK SC"/>
        <family val="2"/>
      </rPr>
      <t xml:space="preserve">家 </t>
    </r>
    <r>
      <rPr>
        <sz val="10"/>
        <color rgb="FF808080"/>
        <rFont val="Arial"/>
        <family val="0"/>
        <charset val="1"/>
      </rPr>
      <t xml:space="preserve">680→945 </t>
    </r>
    <r>
      <rPr>
        <sz val="10"/>
        <color rgb="FF808080"/>
        <rFont val="Noto Sans CJK SC"/>
        <family val="2"/>
      </rPr>
      <t xml:space="preserve">人時、兩天版改為標準版、免費補訓以一次為限。</t>
    </r>
  </si>
</sst>
</file>

<file path=xl/styles.xml><?xml version="1.0" encoding="utf-8"?>
<styleSheet xmlns="http://schemas.openxmlformats.org/spreadsheetml/2006/main">
  <numFmts count="4">
    <numFmt numFmtId="164" formatCode="General"/>
    <numFmt numFmtId="165" formatCode="General"/>
    <numFmt numFmtId="166" formatCode="0.0"/>
    <numFmt numFmtId="167" formatCode="0.0%"/>
  </numFmts>
  <fonts count="30">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b val="true"/>
      <sz val="14"/>
      <color rgb="FF1F3864"/>
      <name val="Noto Sans CJK SC"/>
      <family val="2"/>
    </font>
    <font>
      <i val="true"/>
      <sz val="9"/>
      <color rgb="FF808080"/>
      <name val="Noto Sans CJK SC"/>
      <family val="2"/>
    </font>
    <font>
      <i val="true"/>
      <sz val="9"/>
      <color rgb="FF808080"/>
      <name val="Arial"/>
      <family val="0"/>
      <charset val="1"/>
    </font>
    <font>
      <b val="true"/>
      <sz val="10"/>
      <color rgb="FFFFFFFF"/>
      <name val="Noto Sans CJK SC"/>
      <family val="2"/>
    </font>
    <font>
      <b val="true"/>
      <sz val="10"/>
      <color rgb="FFFFFFFF"/>
      <name val="Arial"/>
      <family val="0"/>
      <charset val="1"/>
    </font>
    <font>
      <sz val="10"/>
      <name val="Noto Sans CJK SC"/>
      <family val="2"/>
    </font>
    <font>
      <sz val="10"/>
      <name val="Arial"/>
      <family val="0"/>
      <charset val="1"/>
    </font>
    <font>
      <b val="true"/>
      <sz val="10"/>
      <name val="Noto Sans CJK SC"/>
      <family val="2"/>
    </font>
    <font>
      <b val="true"/>
      <sz val="10"/>
      <name val="Arial"/>
      <family val="0"/>
      <charset val="1"/>
    </font>
    <font>
      <b val="true"/>
      <sz val="13"/>
      <color rgb="FF1F3864"/>
      <name val="Noto Sans CJK SC"/>
      <family val="2"/>
    </font>
    <font>
      <b val="true"/>
      <sz val="13"/>
      <color rgb="FF1F3864"/>
      <name val="Arial"/>
      <family val="0"/>
      <charset val="1"/>
    </font>
    <font>
      <b val="true"/>
      <sz val="10"/>
      <color rgb="FF1F3864"/>
      <name val="Noto Sans CJK SC"/>
      <family val="2"/>
    </font>
    <font>
      <b val="true"/>
      <sz val="10"/>
      <color rgb="FF1F3864"/>
      <name val="Arial"/>
      <family val="0"/>
      <charset val="1"/>
    </font>
    <font>
      <b val="true"/>
      <sz val="10"/>
      <color rgb="FFC0392B"/>
      <name val="Arial"/>
      <family val="0"/>
      <charset val="1"/>
    </font>
    <font>
      <sz val="10"/>
      <color rgb="FF808080"/>
      <name val="Noto Sans CJK SC"/>
      <family val="2"/>
    </font>
    <font>
      <sz val="10"/>
      <color rgb="FF808080"/>
      <name val="Arial"/>
      <family val="0"/>
      <charset val="1"/>
    </font>
    <font>
      <i val="true"/>
      <sz val="10"/>
      <color rgb="FF808080"/>
      <name val="Noto Sans CJK SC"/>
      <family val="2"/>
    </font>
    <font>
      <b val="true"/>
      <sz val="10"/>
      <color rgb="FFC00000"/>
      <name val="Noto Sans CJK SC"/>
      <family val="2"/>
    </font>
    <font>
      <b val="true"/>
      <sz val="10"/>
      <color rgb="FFC00000"/>
      <name val="Arial"/>
      <family val="0"/>
      <charset val="1"/>
    </font>
    <font>
      <sz val="9"/>
      <color rgb="FF808080"/>
      <name val="Noto Sans CJK SC"/>
      <family val="2"/>
    </font>
    <font>
      <sz val="9"/>
      <color rgb="FF808080"/>
      <name val="Arial"/>
      <family val="0"/>
      <charset val="1"/>
    </font>
    <font>
      <b val="true"/>
      <sz val="11"/>
      <color rgb="FF1F3864"/>
      <name val="Noto Sans CJK SC"/>
      <family val="2"/>
    </font>
    <font>
      <i val="true"/>
      <sz val="9"/>
      <color rgb="FFC00000"/>
      <name val="Noto Sans CJK SC"/>
      <family val="2"/>
    </font>
    <font>
      <i val="true"/>
      <sz val="9"/>
      <color rgb="FFC00000"/>
      <name val="Arial"/>
      <family val="0"/>
      <charset val="1"/>
    </font>
    <font>
      <b val="true"/>
      <sz val="10"/>
      <color rgb="FFC0392B"/>
      <name val="Noto Sans CJK SC"/>
      <family val="2"/>
    </font>
  </fonts>
  <fills count="19">
    <fill>
      <patternFill patternType="none"/>
    </fill>
    <fill>
      <patternFill patternType="gray125"/>
    </fill>
    <fill>
      <patternFill patternType="solid">
        <fgColor rgb="FF1F3864"/>
        <bgColor rgb="FF333333"/>
      </patternFill>
    </fill>
    <fill>
      <patternFill patternType="solid">
        <fgColor rgb="FF7F7F7F"/>
        <bgColor rgb="FF808080"/>
      </patternFill>
    </fill>
    <fill>
      <patternFill patternType="solid">
        <fgColor rgb="FFE2EFDA"/>
        <bgColor rgb="FFF2F2F2"/>
      </patternFill>
    </fill>
    <fill>
      <patternFill patternType="solid">
        <fgColor rgb="FFFBE5D6"/>
        <bgColor rgb="FFFFE9C7"/>
      </patternFill>
    </fill>
    <fill>
      <patternFill patternType="solid">
        <fgColor rgb="FFFFF2CC"/>
        <bgColor rgb="FFFFE9C7"/>
      </patternFill>
    </fill>
    <fill>
      <patternFill patternType="solid">
        <fgColor rgb="FFC00000"/>
        <bgColor rgb="FF800000"/>
      </patternFill>
    </fill>
    <fill>
      <patternFill patternType="solid">
        <fgColor rgb="FFED7D31"/>
        <bgColor rgb="FFFF8080"/>
      </patternFill>
    </fill>
    <fill>
      <patternFill patternType="solid">
        <fgColor rgb="FF70AD47"/>
        <bgColor rgb="FF99CC00"/>
      </patternFill>
    </fill>
    <fill>
      <patternFill patternType="solid">
        <fgColor rgb="FF7030A0"/>
        <bgColor rgb="FF993366"/>
      </patternFill>
    </fill>
    <fill>
      <patternFill patternType="solid">
        <fgColor rgb="FF2E75B6"/>
        <bgColor rgb="FF0066CC"/>
      </patternFill>
    </fill>
    <fill>
      <patternFill patternType="solid">
        <fgColor rgb="FFBF8F00"/>
        <bgColor rgb="FFED7D31"/>
      </patternFill>
    </fill>
    <fill>
      <patternFill patternType="solid">
        <fgColor rgb="FF808080"/>
        <bgColor rgb="FF7F7F7F"/>
      </patternFill>
    </fill>
    <fill>
      <patternFill patternType="solid">
        <fgColor rgb="FFE8F0FF"/>
        <bgColor rgb="FFF2F2F2"/>
      </patternFill>
    </fill>
    <fill>
      <patternFill patternType="solid">
        <fgColor rgb="FFFFE9C7"/>
        <bgColor rgb="FFFBE5D6"/>
      </patternFill>
    </fill>
    <fill>
      <patternFill patternType="solid">
        <fgColor rgb="FFFDECEA"/>
        <bgColor rgb="FFF2F2F2"/>
      </patternFill>
    </fill>
    <fill>
      <patternFill patternType="solid">
        <fgColor rgb="FFEDE7F6"/>
        <bgColor rgb="FFE8F0FF"/>
      </patternFill>
    </fill>
    <fill>
      <patternFill patternType="solid">
        <fgColor rgb="FFF2F2F2"/>
        <bgColor rgb="FFE8F0FF"/>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style="thin">
        <color rgb="FFBFBFBF"/>
      </right>
      <top style="thin">
        <color rgb="FF1F3864"/>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general" vertical="top" textRotation="0" wrapText="true" indent="0" shrinkToFit="false"/>
      <protection locked="true" hidden="false"/>
    </xf>
    <xf numFmtId="164" fontId="10" fillId="5"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9" fillId="7" borderId="1" xfId="0" applyFont="true" applyBorder="true" applyAlignment="true" applyProtection="false">
      <alignment horizontal="general" vertical="top" textRotation="0" wrapText="true" indent="0" shrinkToFit="false"/>
      <protection locked="true" hidden="false"/>
    </xf>
    <xf numFmtId="164" fontId="9" fillId="8" borderId="1" xfId="0" applyFont="true" applyBorder="true" applyAlignment="true" applyProtection="false">
      <alignment horizontal="general" vertical="top" textRotation="0" wrapText="true" indent="0" shrinkToFit="false"/>
      <protection locked="true" hidden="false"/>
    </xf>
    <xf numFmtId="164" fontId="11" fillId="5" borderId="1" xfId="0" applyFont="true" applyBorder="true" applyAlignment="true" applyProtection="false">
      <alignment horizontal="general" vertical="top" textRotation="0" wrapText="true" indent="0" shrinkToFit="false"/>
      <protection locked="true" hidden="false"/>
    </xf>
    <xf numFmtId="164" fontId="9" fillId="9" borderId="1" xfId="0" applyFont="true" applyBorder="true" applyAlignment="true" applyProtection="false">
      <alignment horizontal="general" vertical="top" textRotation="0" wrapText="true" indent="0" shrinkToFit="false"/>
      <protection locked="true" hidden="false"/>
    </xf>
    <xf numFmtId="164" fontId="11" fillId="4" borderId="1" xfId="0" applyFont="true" applyBorder="true" applyAlignment="true" applyProtection="false">
      <alignment horizontal="general" vertical="top" textRotation="0" wrapText="true" indent="0" shrinkToFit="false"/>
      <protection locked="true" hidden="false"/>
    </xf>
    <xf numFmtId="164" fontId="9" fillId="10" borderId="1" xfId="0" applyFont="true" applyBorder="true" applyAlignment="true" applyProtection="false">
      <alignment horizontal="general" vertical="top" textRotation="0" wrapText="true" indent="0" shrinkToFit="false"/>
      <protection locked="true" hidden="false"/>
    </xf>
    <xf numFmtId="164" fontId="9" fillId="11" borderId="1" xfId="0" applyFont="true" applyBorder="true" applyAlignment="true" applyProtection="false">
      <alignment horizontal="general" vertical="top" textRotation="0" wrapText="true" indent="0" shrinkToFit="false"/>
      <protection locked="true" hidden="false"/>
    </xf>
    <xf numFmtId="164" fontId="9" fillId="12" borderId="1" xfId="0" applyFont="true" applyBorder="true" applyAlignment="true" applyProtection="false">
      <alignment horizontal="general" vertical="top" textRotation="0" wrapText="true" indent="0" shrinkToFit="false"/>
      <protection locked="true" hidden="false"/>
    </xf>
    <xf numFmtId="164" fontId="9" fillId="13" borderId="1"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right" vertical="bottom" textRotation="0" wrapText="false" indent="0" shrinkToFit="false"/>
      <protection locked="true" hidden="false"/>
    </xf>
    <xf numFmtId="165" fontId="13" fillId="0" borderId="0" xfId="0" applyFont="true" applyBorder="false" applyAlignment="true" applyProtection="false">
      <alignment horizontal="center" vertical="center" textRotation="0" wrapText="true" indent="0" shrinkToFit="false"/>
      <protection locked="true" hidden="false"/>
    </xf>
    <xf numFmtId="165" fontId="13" fillId="6" borderId="0" xfId="0" applyFont="true" applyBorder="false" applyAlignment="true" applyProtection="false">
      <alignment horizontal="center" vertical="center" textRotation="0" wrapText="true" indent="0" shrinkToFit="false"/>
      <protection locked="true" hidden="false"/>
    </xf>
    <xf numFmtId="166" fontId="13" fillId="0" borderId="0" xfId="0" applyFont="true" applyBorder="false" applyAlignment="true" applyProtection="false">
      <alignment horizontal="center"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1" fillId="14" borderId="1" xfId="0" applyFont="true" applyBorder="true" applyAlignment="true" applyProtection="false">
      <alignment horizontal="general" vertical="top" textRotation="0" wrapText="tru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11" fillId="6" borderId="1" xfId="0" applyFont="true" applyBorder="true" applyAlignment="true" applyProtection="false">
      <alignment horizontal="center" vertical="center" textRotation="0" wrapText="true" indent="0" shrinkToFit="false"/>
      <protection locked="true" hidden="false"/>
    </xf>
    <xf numFmtId="164" fontId="11" fillId="15" borderId="1" xfId="0" applyFont="true" applyBorder="true" applyAlignment="true" applyProtection="false">
      <alignment horizontal="general" vertical="top" textRotation="0" wrapText="true" indent="0" shrinkToFit="false"/>
      <protection locked="true" hidden="false"/>
    </xf>
    <xf numFmtId="164" fontId="18" fillId="16" borderId="1" xfId="0" applyFont="true" applyBorder="true" applyAlignment="true" applyProtection="false">
      <alignment horizontal="center" vertical="center" textRotation="0" wrapText="true" indent="0" shrinkToFit="false"/>
      <protection locked="true" hidden="false"/>
    </xf>
    <xf numFmtId="164" fontId="11" fillId="17" borderId="1" xfId="0" applyFont="true" applyBorder="true" applyAlignment="true" applyProtection="false">
      <alignment horizontal="general" vertical="top" textRotation="0" wrapText="true" indent="0" shrinkToFit="false"/>
      <protection locked="true" hidden="false"/>
    </xf>
    <xf numFmtId="164" fontId="11" fillId="18" borderId="1" xfId="0" applyFont="true" applyBorder="true" applyAlignment="true" applyProtection="false">
      <alignment horizontal="general" vertical="top" textRotation="0" wrapText="true" indent="0" shrinkToFit="false"/>
      <protection locked="true" hidden="false"/>
    </xf>
    <xf numFmtId="165" fontId="0" fillId="6" borderId="0" xfId="0" applyFont="false" applyBorder="false" applyAlignment="true" applyProtection="false">
      <alignment horizontal="center" vertical="center"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21" fillId="0" borderId="1" xfId="0" applyFont="true" applyBorder="true" applyAlignment="true" applyProtection="false">
      <alignment horizontal="general" vertical="top"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5" fontId="0" fillId="0" borderId="0" xfId="0" applyFont="false" applyBorder="false" applyAlignment="true" applyProtection="false">
      <alignment horizontal="center" vertical="center" textRotation="0" wrapText="true" indent="0" shrinkToFit="false"/>
      <protection locked="true" hidden="false"/>
    </xf>
    <xf numFmtId="167" fontId="0" fillId="0" borderId="0" xfId="0" applyFont="false" applyBorder="false" applyAlignment="true" applyProtection="false">
      <alignment horizontal="center" vertical="center" textRotation="0" wrapText="tru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21" fillId="6" borderId="1" xfId="0" applyFont="true" applyBorder="true" applyAlignment="true" applyProtection="false">
      <alignment horizontal="general" vertical="top" textRotation="0" wrapText="true" indent="0" shrinkToFit="false"/>
      <protection locked="true" hidden="false"/>
    </xf>
    <xf numFmtId="164" fontId="10" fillId="6" borderId="1" xfId="0" applyFont="true" applyBorder="true" applyAlignment="true" applyProtection="false">
      <alignment horizontal="general" vertical="top" textRotation="0" wrapText="tru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general" vertical="top" textRotation="0" wrapText="true" indent="0" shrinkToFit="false"/>
      <protection locked="true" hidden="false"/>
    </xf>
    <xf numFmtId="164" fontId="12" fillId="0" borderId="2" xfId="0" applyFont="true" applyBorder="true" applyAlignment="true" applyProtection="false">
      <alignment horizontal="general" vertical="top" textRotation="0" wrapText="true" indent="0" shrinkToFit="false"/>
      <protection locked="true" hidden="false"/>
    </xf>
    <xf numFmtId="164" fontId="11"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general" vertical="top" textRotation="0" wrapText="true" indent="0" shrinkToFit="false"/>
      <protection locked="true" hidden="false"/>
    </xf>
    <xf numFmtId="164" fontId="10" fillId="5" borderId="2" xfId="0" applyFont="true" applyBorder="true" applyAlignment="true" applyProtection="false">
      <alignment horizontal="general" vertical="top" textRotation="0" wrapText="true" indent="0" shrinkToFit="false"/>
      <protection locked="true" hidden="false"/>
    </xf>
    <xf numFmtId="164" fontId="10" fillId="6" borderId="2"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1" fillId="5" borderId="2" xfId="0" applyFont="true" applyBorder="true" applyAlignment="true" applyProtection="false">
      <alignment horizontal="general" vertical="top" textRotation="0" wrapText="true" indent="0" shrinkToFit="false"/>
      <protection locked="true" hidden="false"/>
    </xf>
    <xf numFmtId="164" fontId="11" fillId="0" borderId="2" xfId="0" applyFont="true" applyBorder="true" applyAlignment="true" applyProtection="false">
      <alignment horizontal="general" vertical="top" textRotation="0" wrapText="true" indent="0" shrinkToFit="false"/>
      <protection locked="true" hidden="false"/>
    </xf>
    <xf numFmtId="164" fontId="11" fillId="6" borderId="2" xfId="0" applyFont="true" applyBorder="true" applyAlignment="true" applyProtection="false">
      <alignment horizontal="general" vertical="top" textRotation="0" wrapText="true" indent="0" shrinkToFit="false"/>
      <protection locked="true" hidden="false"/>
    </xf>
    <xf numFmtId="164" fontId="13" fillId="0" borderId="2" xfId="0" applyFont="true" applyBorder="true" applyAlignment="true" applyProtection="false">
      <alignment horizontal="general" vertical="top" textRotation="0" wrapText="tru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4" fontId="29" fillId="16"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7030A0"/>
      <rgbColor rgb="FFFFF2CC"/>
      <rgbColor rgb="FFE8F0FF"/>
      <rgbColor rgb="FF660066"/>
      <rgbColor rgb="FFFF8080"/>
      <rgbColor rgb="FF0066CC"/>
      <rgbColor rgb="FFEDE7F6"/>
      <rgbColor rgb="FF000080"/>
      <rgbColor rgb="FFFF00FF"/>
      <rgbColor rgb="FFFFFF00"/>
      <rgbColor rgb="FF00FFFF"/>
      <rgbColor rgb="FF800080"/>
      <rgbColor rgb="FF800000"/>
      <rgbColor rgb="FF008080"/>
      <rgbColor rgb="FF0000FF"/>
      <rgbColor rgb="FF00CCFF"/>
      <rgbColor rgb="FFF2F2F2"/>
      <rgbColor rgb="FFE2EFDA"/>
      <rgbColor rgb="FFFFE9C7"/>
      <rgbColor rgb="FFFDECEA"/>
      <rgbColor rgb="FFFF99CC"/>
      <rgbColor rgb="FFCC99FF"/>
      <rgbColor rgb="FFFBE5D6"/>
      <rgbColor rgb="FF2E75B6"/>
      <rgbColor rgb="FF33CCCC"/>
      <rgbColor rgb="FF99CC00"/>
      <rgbColor rgb="FFFFCC00"/>
      <rgbColor rgb="FFBF8F00"/>
      <rgbColor rgb="FFED7D31"/>
      <rgbColor rgb="FF666699"/>
      <rgbColor rgb="FF7F7F7F"/>
      <rgbColor rgb="FF1F3864"/>
      <rgbColor rgb="FF70AD47"/>
      <rgbColor rgb="FF003300"/>
      <rgbColor rgb="FF333300"/>
      <rgbColor rgb="FFC0392B"/>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0"/>
    <col collapsed="false" customWidth="true" hidden="false" outlineLevel="0" max="3" min="3" style="0" width="40"/>
    <col collapsed="false" customWidth="true" hidden="false" outlineLevel="0" max="4" min="4" style="0" width="46"/>
    <col collapsed="false" customWidth="true" hidden="false" outlineLevel="0" max="5" min="5" style="0" width="26"/>
    <col collapsed="false" customWidth="true" hidden="false" outlineLevel="0" max="6" min="6" style="0" width="9"/>
    <col collapsed="false" customWidth="true" hidden="false" outlineLevel="0" max="7" min="7" style="0" width="13"/>
    <col collapsed="false" customWidth="true" hidden="false" outlineLevel="0" max="9" min="8" style="0" width="11"/>
    <col collapsed="false" customWidth="true" hidden="false" outlineLevel="0" max="10" min="10" style="0" width="16"/>
    <col collapsed="false" customWidth="true" hidden="false" outlineLevel="0" max="11" min="11" style="0" width="17"/>
    <col collapsed="false" customWidth="true" hidden="false" outlineLevel="0" max="12" min="12" style="0" width="15"/>
    <col collapsed="false" customWidth="true" hidden="false" outlineLevel="0" max="13" min="13" style="0" width="28"/>
    <col collapsed="false" customWidth="true" hidden="false" outlineLevel="0" max="14" min="14" style="0" width="36"/>
  </cols>
  <sheetData>
    <row r="1" customFormat="false" ht="21.6" hidden="false" customHeight="false" outlineLevel="0" collapsed="false">
      <c r="A1" s="1" t="s">
        <v>0</v>
      </c>
    </row>
    <row r="2" customFormat="false" ht="15" hidden="false" customHeight="false" outlineLevel="0" collapsed="false">
      <c r="A2" s="2" t="s">
        <v>1</v>
      </c>
    </row>
    <row r="4" customFormat="false" ht="31.5" hidden="false" customHeight="true" outlineLevel="0" collapsed="false">
      <c r="A4" s="3" t="s">
        <v>2</v>
      </c>
      <c r="B4" s="3" t="s">
        <v>3</v>
      </c>
      <c r="C4" s="3" t="s">
        <v>4</v>
      </c>
      <c r="D4" s="3" t="s">
        <v>5</v>
      </c>
      <c r="E4" s="3" t="s">
        <v>6</v>
      </c>
      <c r="F4" s="3" t="s">
        <v>7</v>
      </c>
      <c r="G4" s="3" t="s">
        <v>8</v>
      </c>
      <c r="H4" s="3" t="s">
        <v>9</v>
      </c>
      <c r="I4" s="3" t="s">
        <v>10</v>
      </c>
      <c r="J4" s="3" t="s">
        <v>11</v>
      </c>
      <c r="K4" s="3" t="s">
        <v>12</v>
      </c>
      <c r="L4" s="3" t="s">
        <v>13</v>
      </c>
      <c r="M4" s="3" t="s">
        <v>14</v>
      </c>
      <c r="N4" s="3" t="s">
        <v>15</v>
      </c>
    </row>
    <row r="5" customFormat="false" ht="61.5" hidden="false" customHeight="true" outlineLevel="0" collapsed="false">
      <c r="A5" s="4" t="s">
        <v>16</v>
      </c>
      <c r="B5" s="5" t="s">
        <v>17</v>
      </c>
      <c r="C5" s="5" t="s">
        <v>18</v>
      </c>
      <c r="D5" s="6" t="s">
        <v>19</v>
      </c>
      <c r="E5" s="7" t="s">
        <v>20</v>
      </c>
      <c r="F5" s="8"/>
      <c r="G5" s="7" t="s">
        <v>21</v>
      </c>
      <c r="H5" s="9"/>
      <c r="I5" s="9"/>
      <c r="J5" s="7" t="s">
        <v>22</v>
      </c>
      <c r="K5" s="10" t="s">
        <v>23</v>
      </c>
      <c r="L5" s="7" t="s">
        <v>24</v>
      </c>
      <c r="M5" s="7" t="s">
        <v>25</v>
      </c>
      <c r="N5" s="5" t="s">
        <v>26</v>
      </c>
    </row>
    <row r="6" customFormat="false" ht="61.5" hidden="false" customHeight="true" outlineLevel="0" collapsed="false">
      <c r="A6" s="4" t="s">
        <v>16</v>
      </c>
      <c r="B6" s="5" t="s">
        <v>27</v>
      </c>
      <c r="C6" s="5" t="s">
        <v>28</v>
      </c>
      <c r="D6" s="6" t="s">
        <v>29</v>
      </c>
      <c r="E6" s="7" t="s">
        <v>30</v>
      </c>
      <c r="F6" s="8"/>
      <c r="G6" s="7" t="s">
        <v>31</v>
      </c>
      <c r="H6" s="9"/>
      <c r="I6" s="9"/>
      <c r="J6" s="7" t="s">
        <v>32</v>
      </c>
      <c r="K6" s="10" t="s">
        <v>33</v>
      </c>
      <c r="L6" s="7" t="s">
        <v>34</v>
      </c>
      <c r="M6" s="7" t="s">
        <v>35</v>
      </c>
      <c r="N6" s="5" t="s">
        <v>36</v>
      </c>
    </row>
    <row r="7" customFormat="false" ht="61.5" hidden="false" customHeight="true" outlineLevel="0" collapsed="false">
      <c r="A7" s="4" t="s">
        <v>16</v>
      </c>
      <c r="B7" s="7" t="s">
        <v>37</v>
      </c>
      <c r="C7" s="7" t="s">
        <v>38</v>
      </c>
      <c r="D7" s="6" t="s">
        <v>39</v>
      </c>
      <c r="E7" s="7" t="s">
        <v>40</v>
      </c>
      <c r="F7" s="8"/>
      <c r="G7" s="7" t="s">
        <v>41</v>
      </c>
      <c r="H7" s="9"/>
      <c r="I7" s="9"/>
      <c r="J7" s="7" t="s">
        <v>42</v>
      </c>
      <c r="K7" s="10" t="s">
        <v>43</v>
      </c>
      <c r="L7" s="7" t="s">
        <v>44</v>
      </c>
      <c r="M7" s="7" t="s">
        <v>45</v>
      </c>
      <c r="N7" s="7" t="s">
        <v>46</v>
      </c>
    </row>
    <row r="8" customFormat="false" ht="61.5" hidden="false" customHeight="true" outlineLevel="0" collapsed="false">
      <c r="A8" s="4" t="s">
        <v>16</v>
      </c>
      <c r="B8" s="7" t="s">
        <v>47</v>
      </c>
      <c r="C8" s="7" t="s">
        <v>48</v>
      </c>
      <c r="D8" s="6" t="s">
        <v>49</v>
      </c>
      <c r="E8" s="7" t="s">
        <v>50</v>
      </c>
      <c r="F8" s="8"/>
      <c r="G8" s="7" t="s">
        <v>41</v>
      </c>
      <c r="H8" s="9"/>
      <c r="I8" s="9"/>
      <c r="J8" s="7" t="s">
        <v>51</v>
      </c>
      <c r="K8" s="10" t="s">
        <v>23</v>
      </c>
      <c r="L8" s="7" t="s">
        <v>52</v>
      </c>
      <c r="M8" s="7" t="s">
        <v>53</v>
      </c>
      <c r="N8" s="7" t="s">
        <v>54</v>
      </c>
    </row>
    <row r="9" customFormat="false" ht="61.5" hidden="false" customHeight="true" outlineLevel="0" collapsed="false">
      <c r="A9" s="4" t="s">
        <v>16</v>
      </c>
      <c r="B9" s="5" t="s">
        <v>55</v>
      </c>
      <c r="C9" s="5" t="s">
        <v>56</v>
      </c>
      <c r="D9" s="6" t="s">
        <v>57</v>
      </c>
      <c r="E9" s="7" t="s">
        <v>58</v>
      </c>
      <c r="F9" s="8"/>
      <c r="G9" s="7" t="s">
        <v>41</v>
      </c>
      <c r="H9" s="9"/>
      <c r="I9" s="9"/>
      <c r="J9" s="7" t="s">
        <v>59</v>
      </c>
      <c r="K9" s="10" t="s">
        <v>23</v>
      </c>
      <c r="L9" s="7" t="s">
        <v>60</v>
      </c>
      <c r="M9" s="7" t="s">
        <v>61</v>
      </c>
      <c r="N9" s="5" t="s">
        <v>62</v>
      </c>
    </row>
    <row r="10" customFormat="false" ht="61.5" hidden="false" customHeight="true" outlineLevel="0" collapsed="false">
      <c r="A10" s="11" t="s">
        <v>63</v>
      </c>
      <c r="B10" s="5" t="s">
        <v>64</v>
      </c>
      <c r="C10" s="5" t="s">
        <v>65</v>
      </c>
      <c r="D10" s="6" t="s">
        <v>66</v>
      </c>
      <c r="E10" s="7" t="s">
        <v>67</v>
      </c>
      <c r="F10" s="8" t="n">
        <v>15</v>
      </c>
      <c r="G10" s="7" t="s">
        <v>41</v>
      </c>
      <c r="H10" s="9"/>
      <c r="I10" s="9"/>
      <c r="J10" s="7" t="s">
        <v>68</v>
      </c>
      <c r="K10" s="10" t="s">
        <v>69</v>
      </c>
      <c r="L10" s="7" t="s">
        <v>70</v>
      </c>
      <c r="M10" s="7" t="s">
        <v>71</v>
      </c>
      <c r="N10" s="5" t="s">
        <v>72</v>
      </c>
    </row>
    <row r="11" customFormat="false" ht="61.5" hidden="false" customHeight="true" outlineLevel="0" collapsed="false">
      <c r="A11" s="11" t="s">
        <v>63</v>
      </c>
      <c r="B11" s="5" t="s">
        <v>73</v>
      </c>
      <c r="C11" s="5" t="s">
        <v>74</v>
      </c>
      <c r="D11" s="6" t="s">
        <v>75</v>
      </c>
      <c r="E11" s="7" t="s">
        <v>76</v>
      </c>
      <c r="F11" s="8" t="n">
        <v>15</v>
      </c>
      <c r="G11" s="7" t="s">
        <v>77</v>
      </c>
      <c r="H11" s="9"/>
      <c r="I11" s="9"/>
      <c r="J11" s="7" t="s">
        <v>78</v>
      </c>
      <c r="K11" s="10" t="s">
        <v>69</v>
      </c>
      <c r="L11" s="7" t="s">
        <v>70</v>
      </c>
      <c r="M11" s="7" t="s">
        <v>79</v>
      </c>
      <c r="N11" s="5" t="s">
        <v>80</v>
      </c>
    </row>
    <row r="12" customFormat="false" ht="61.5" hidden="false" customHeight="true" outlineLevel="0" collapsed="false">
      <c r="A12" s="12" t="s">
        <v>81</v>
      </c>
      <c r="B12" s="5" t="s">
        <v>82</v>
      </c>
      <c r="C12" s="5" t="s">
        <v>83</v>
      </c>
      <c r="D12" s="6" t="s">
        <v>84</v>
      </c>
      <c r="E12" s="7" t="s">
        <v>85</v>
      </c>
      <c r="F12" s="8" t="n">
        <v>25</v>
      </c>
      <c r="G12" s="7" t="s">
        <v>41</v>
      </c>
      <c r="H12" s="9"/>
      <c r="I12" s="9"/>
      <c r="J12" s="10" t="s">
        <v>86</v>
      </c>
      <c r="K12" s="10" t="s">
        <v>87</v>
      </c>
      <c r="L12" s="7" t="s">
        <v>88</v>
      </c>
      <c r="M12" s="7" t="s">
        <v>89</v>
      </c>
      <c r="N12" s="5" t="s">
        <v>90</v>
      </c>
    </row>
    <row r="13" customFormat="false" ht="61.5" hidden="false" customHeight="true" outlineLevel="0" collapsed="false">
      <c r="A13" s="12" t="s">
        <v>81</v>
      </c>
      <c r="B13" s="7" t="s">
        <v>91</v>
      </c>
      <c r="C13" s="7" t="s">
        <v>92</v>
      </c>
      <c r="D13" s="13" t="s">
        <v>93</v>
      </c>
      <c r="E13" s="10" t="s">
        <v>94</v>
      </c>
      <c r="F13" s="8" t="n">
        <v>15</v>
      </c>
      <c r="G13" s="7" t="s">
        <v>77</v>
      </c>
      <c r="H13" s="9"/>
      <c r="I13" s="9"/>
      <c r="J13" s="10" t="s">
        <v>95</v>
      </c>
      <c r="K13" s="10" t="s">
        <v>87</v>
      </c>
      <c r="L13" s="7" t="s">
        <v>96</v>
      </c>
      <c r="M13" s="7" t="s">
        <v>97</v>
      </c>
      <c r="N13" s="7" t="s">
        <v>98</v>
      </c>
    </row>
    <row r="14" customFormat="false" ht="61.5" hidden="false" customHeight="true" outlineLevel="0" collapsed="false">
      <c r="A14" s="12" t="s">
        <v>81</v>
      </c>
      <c r="B14" s="7" t="s">
        <v>99</v>
      </c>
      <c r="C14" s="7" t="s">
        <v>100</v>
      </c>
      <c r="D14" s="6" t="s">
        <v>101</v>
      </c>
      <c r="E14" s="10" t="s">
        <v>102</v>
      </c>
      <c r="F14" s="8" t="n">
        <v>20</v>
      </c>
      <c r="G14" s="7" t="s">
        <v>41</v>
      </c>
      <c r="H14" s="9"/>
      <c r="I14" s="9"/>
      <c r="J14" s="7" t="s">
        <v>103</v>
      </c>
      <c r="K14" s="10" t="s">
        <v>23</v>
      </c>
      <c r="L14" s="7" t="s">
        <v>104</v>
      </c>
      <c r="M14" s="7" t="s">
        <v>105</v>
      </c>
      <c r="N14" s="7"/>
    </row>
    <row r="15" customFormat="false" ht="61.5" hidden="false" customHeight="true" outlineLevel="0" collapsed="false">
      <c r="A15" s="14" t="s">
        <v>106</v>
      </c>
      <c r="B15" s="5" t="s">
        <v>107</v>
      </c>
      <c r="C15" s="5" t="s">
        <v>108</v>
      </c>
      <c r="D15" s="6" t="s">
        <v>109</v>
      </c>
      <c r="E15" s="7" t="s">
        <v>110</v>
      </c>
      <c r="F15" s="8" t="n">
        <v>30</v>
      </c>
      <c r="G15" s="7" t="s">
        <v>41</v>
      </c>
      <c r="H15" s="9"/>
      <c r="I15" s="9"/>
      <c r="J15" s="7" t="s">
        <v>111</v>
      </c>
      <c r="K15" s="10" t="s">
        <v>23</v>
      </c>
      <c r="L15" s="7" t="s">
        <v>112</v>
      </c>
      <c r="M15" s="7" t="s">
        <v>113</v>
      </c>
      <c r="N15" s="15" t="s">
        <v>114</v>
      </c>
    </row>
    <row r="16" customFormat="false" ht="61.5" hidden="false" customHeight="true" outlineLevel="0" collapsed="false">
      <c r="A16" s="14" t="s">
        <v>115</v>
      </c>
      <c r="B16" s="15" t="s">
        <v>116</v>
      </c>
      <c r="C16" s="5" t="s">
        <v>117</v>
      </c>
      <c r="D16" s="6" t="s">
        <v>118</v>
      </c>
      <c r="E16" s="10" t="s">
        <v>87</v>
      </c>
      <c r="F16" s="8" t="n">
        <v>30</v>
      </c>
      <c r="G16" s="7" t="s">
        <v>41</v>
      </c>
      <c r="H16" s="9"/>
      <c r="I16" s="9"/>
      <c r="J16" s="10" t="s">
        <v>87</v>
      </c>
      <c r="K16" s="10" t="s">
        <v>87</v>
      </c>
      <c r="L16" s="10" t="s">
        <v>87</v>
      </c>
      <c r="M16" s="7" t="s">
        <v>119</v>
      </c>
      <c r="N16" s="5" t="s">
        <v>120</v>
      </c>
    </row>
    <row r="17" customFormat="false" ht="61.5" hidden="false" customHeight="true" outlineLevel="0" collapsed="false">
      <c r="A17" s="14" t="s">
        <v>115</v>
      </c>
      <c r="B17" s="7" t="s">
        <v>121</v>
      </c>
      <c r="C17" s="7" t="s">
        <v>122</v>
      </c>
      <c r="D17" s="6" t="s">
        <v>123</v>
      </c>
      <c r="E17" s="7" t="s">
        <v>124</v>
      </c>
      <c r="F17" s="8" t="n">
        <v>60</v>
      </c>
      <c r="G17" s="7" t="s">
        <v>125</v>
      </c>
      <c r="H17" s="9"/>
      <c r="I17" s="9"/>
      <c r="J17" s="7" t="s">
        <v>126</v>
      </c>
      <c r="K17" s="7" t="s">
        <v>127</v>
      </c>
      <c r="L17" s="7" t="s">
        <v>128</v>
      </c>
      <c r="M17" s="7" t="s">
        <v>129</v>
      </c>
      <c r="N17" s="7" t="s">
        <v>130</v>
      </c>
    </row>
    <row r="18" customFormat="false" ht="61.5" hidden="false" customHeight="true" outlineLevel="0" collapsed="false">
      <c r="A18" s="16" t="s">
        <v>131</v>
      </c>
      <c r="B18" s="7" t="s">
        <v>132</v>
      </c>
      <c r="C18" s="7" t="s">
        <v>133</v>
      </c>
      <c r="D18" s="6" t="s">
        <v>134</v>
      </c>
      <c r="E18" s="7" t="s">
        <v>135</v>
      </c>
      <c r="F18" s="8" t="n">
        <v>35</v>
      </c>
      <c r="G18" s="7" t="s">
        <v>125</v>
      </c>
      <c r="H18" s="9"/>
      <c r="I18" s="9"/>
      <c r="J18" s="7" t="s">
        <v>136</v>
      </c>
      <c r="K18" s="7" t="s">
        <v>137</v>
      </c>
      <c r="L18" s="7" t="s">
        <v>138</v>
      </c>
      <c r="M18" s="7" t="s">
        <v>139</v>
      </c>
      <c r="N18" s="7" t="s">
        <v>140</v>
      </c>
    </row>
    <row r="19" customFormat="false" ht="61.5" hidden="false" customHeight="true" outlineLevel="0" collapsed="false">
      <c r="A19" s="16" t="s">
        <v>131</v>
      </c>
      <c r="B19" s="5" t="s">
        <v>141</v>
      </c>
      <c r="C19" s="5" t="s">
        <v>142</v>
      </c>
      <c r="D19" s="6" t="s">
        <v>143</v>
      </c>
      <c r="E19" s="7" t="s">
        <v>144</v>
      </c>
      <c r="F19" s="8" t="n">
        <v>40</v>
      </c>
      <c r="G19" s="7" t="s">
        <v>145</v>
      </c>
      <c r="H19" s="9"/>
      <c r="I19" s="9"/>
      <c r="J19" s="7" t="s">
        <v>146</v>
      </c>
      <c r="K19" s="7" t="s">
        <v>147</v>
      </c>
      <c r="L19" s="7" t="s">
        <v>148</v>
      </c>
      <c r="M19" s="7" t="s">
        <v>149</v>
      </c>
      <c r="N19" s="5" t="s">
        <v>150</v>
      </c>
    </row>
    <row r="20" customFormat="false" ht="61.5" hidden="false" customHeight="true" outlineLevel="0" collapsed="false">
      <c r="A20" s="17" t="s">
        <v>151</v>
      </c>
      <c r="B20" s="7" t="s">
        <v>152</v>
      </c>
      <c r="C20" s="7" t="s">
        <v>153</v>
      </c>
      <c r="D20" s="6" t="s">
        <v>154</v>
      </c>
      <c r="E20" s="7" t="s">
        <v>155</v>
      </c>
      <c r="F20" s="8" t="n">
        <v>25</v>
      </c>
      <c r="G20" s="7" t="s">
        <v>125</v>
      </c>
      <c r="H20" s="9"/>
      <c r="I20" s="9"/>
      <c r="J20" s="7" t="s">
        <v>156</v>
      </c>
      <c r="K20" s="10" t="s">
        <v>157</v>
      </c>
      <c r="L20" s="7" t="s">
        <v>158</v>
      </c>
      <c r="M20" s="7" t="s">
        <v>159</v>
      </c>
      <c r="N20" s="7" t="s">
        <v>160</v>
      </c>
    </row>
    <row r="21" customFormat="false" ht="61.5" hidden="false" customHeight="true" outlineLevel="0" collapsed="false">
      <c r="A21" s="17" t="s">
        <v>151</v>
      </c>
      <c r="B21" s="7" t="s">
        <v>161</v>
      </c>
      <c r="C21" s="7" t="s">
        <v>162</v>
      </c>
      <c r="D21" s="6" t="s">
        <v>163</v>
      </c>
      <c r="E21" s="7" t="s">
        <v>164</v>
      </c>
      <c r="F21" s="8" t="n">
        <v>20</v>
      </c>
      <c r="G21" s="7" t="s">
        <v>125</v>
      </c>
      <c r="H21" s="9"/>
      <c r="I21" s="9"/>
      <c r="J21" s="7" t="s">
        <v>165</v>
      </c>
      <c r="K21" s="10" t="s">
        <v>166</v>
      </c>
      <c r="L21" s="7" t="s">
        <v>167</v>
      </c>
      <c r="M21" s="7" t="s">
        <v>168</v>
      </c>
      <c r="N21" s="7" t="s">
        <v>169</v>
      </c>
    </row>
    <row r="22" customFormat="false" ht="61.5" hidden="false" customHeight="true" outlineLevel="0" collapsed="false">
      <c r="A22" s="17" t="s">
        <v>151</v>
      </c>
      <c r="B22" s="5" t="s">
        <v>170</v>
      </c>
      <c r="C22" s="5" t="s">
        <v>171</v>
      </c>
      <c r="D22" s="13" t="s">
        <v>172</v>
      </c>
      <c r="E22" s="7" t="s">
        <v>173</v>
      </c>
      <c r="F22" s="8" t="n">
        <v>15</v>
      </c>
      <c r="G22" s="7" t="s">
        <v>41</v>
      </c>
      <c r="H22" s="9"/>
      <c r="I22" s="9"/>
      <c r="J22" s="7" t="s">
        <v>174</v>
      </c>
      <c r="K22" s="10" t="s">
        <v>175</v>
      </c>
      <c r="L22" s="7" t="s">
        <v>176</v>
      </c>
      <c r="M22" s="7" t="s">
        <v>177</v>
      </c>
      <c r="N22" s="5" t="s">
        <v>178</v>
      </c>
    </row>
    <row r="23" customFormat="false" ht="61.5" hidden="false" customHeight="true" outlineLevel="0" collapsed="false">
      <c r="A23" s="14" t="s">
        <v>179</v>
      </c>
      <c r="B23" s="5" t="s">
        <v>180</v>
      </c>
      <c r="C23" s="5" t="s">
        <v>181</v>
      </c>
      <c r="D23" s="6" t="s">
        <v>182</v>
      </c>
      <c r="E23" s="7" t="s">
        <v>183</v>
      </c>
      <c r="F23" s="8" t="n">
        <v>60</v>
      </c>
      <c r="G23" s="7" t="s">
        <v>41</v>
      </c>
      <c r="H23" s="9"/>
      <c r="I23" s="9"/>
      <c r="J23" s="7" t="s">
        <v>184</v>
      </c>
      <c r="K23" s="7" t="s">
        <v>185</v>
      </c>
      <c r="L23" s="7" t="s">
        <v>128</v>
      </c>
      <c r="M23" s="7" t="s">
        <v>186</v>
      </c>
      <c r="N23" s="15" t="s">
        <v>187</v>
      </c>
    </row>
    <row r="24" customFormat="false" ht="61.5" hidden="false" customHeight="true" outlineLevel="0" collapsed="false">
      <c r="A24" s="18" t="s">
        <v>188</v>
      </c>
      <c r="B24" s="5" t="s">
        <v>189</v>
      </c>
      <c r="C24" s="5" t="s">
        <v>190</v>
      </c>
      <c r="D24" s="6" t="s">
        <v>191</v>
      </c>
      <c r="E24" s="7" t="s">
        <v>192</v>
      </c>
      <c r="F24" s="8" t="n">
        <v>15</v>
      </c>
      <c r="G24" s="7" t="s">
        <v>193</v>
      </c>
      <c r="H24" s="9"/>
      <c r="I24" s="9"/>
      <c r="J24" s="7" t="s">
        <v>194</v>
      </c>
      <c r="K24" s="10" t="s">
        <v>195</v>
      </c>
      <c r="L24" s="7" t="s">
        <v>196</v>
      </c>
      <c r="M24" s="7" t="s">
        <v>197</v>
      </c>
      <c r="N24" s="5" t="s">
        <v>198</v>
      </c>
    </row>
    <row r="25" customFormat="false" ht="61.5" hidden="false" customHeight="true" outlineLevel="0" collapsed="false">
      <c r="A25" s="19" t="s">
        <v>199</v>
      </c>
      <c r="B25" s="5" t="s">
        <v>200</v>
      </c>
      <c r="C25" s="5" t="s">
        <v>201</v>
      </c>
      <c r="D25" s="6" t="s">
        <v>202</v>
      </c>
      <c r="E25" s="7" t="s">
        <v>203</v>
      </c>
      <c r="F25" s="8" t="n">
        <v>40</v>
      </c>
      <c r="G25" s="7" t="s">
        <v>41</v>
      </c>
      <c r="H25" s="9"/>
      <c r="I25" s="9"/>
      <c r="J25" s="7" t="s">
        <v>204</v>
      </c>
      <c r="K25" s="7" t="s">
        <v>205</v>
      </c>
      <c r="L25" s="7" t="s">
        <v>206</v>
      </c>
      <c r="M25" s="7" t="s">
        <v>207</v>
      </c>
      <c r="N25" s="5" t="s">
        <v>208</v>
      </c>
    </row>
    <row r="26" customFormat="false" ht="61.5" hidden="false" customHeight="true" outlineLevel="0" collapsed="false">
      <c r="A26" s="19" t="s">
        <v>199</v>
      </c>
      <c r="B26" s="7" t="s">
        <v>209</v>
      </c>
      <c r="C26" s="7" t="s">
        <v>210</v>
      </c>
      <c r="D26" s="6" t="s">
        <v>211</v>
      </c>
      <c r="E26" s="7" t="s">
        <v>212</v>
      </c>
      <c r="F26" s="8" t="n">
        <v>20</v>
      </c>
      <c r="G26" s="7" t="s">
        <v>41</v>
      </c>
      <c r="H26" s="9"/>
      <c r="I26" s="9"/>
      <c r="J26" s="7" t="s">
        <v>213</v>
      </c>
      <c r="K26" s="10" t="s">
        <v>214</v>
      </c>
      <c r="L26" s="7" t="s">
        <v>215</v>
      </c>
      <c r="M26" s="7" t="s">
        <v>216</v>
      </c>
      <c r="N26" s="7" t="s">
        <v>217</v>
      </c>
    </row>
    <row r="27" customFormat="false" ht="15" hidden="false" customHeight="false" outlineLevel="0" collapsed="false">
      <c r="C27" s="20" t="s">
        <v>218</v>
      </c>
      <c r="F27" s="21" t="n">
        <f aca="false">SUM(F5:F26)</f>
        <v>480</v>
      </c>
      <c r="I27" s="22" t="n">
        <f aca="false">SUM(I5:I26)</f>
        <v>0</v>
      </c>
    </row>
    <row r="28" customFormat="false" ht="15" hidden="false" customHeight="false" outlineLevel="0" collapsed="false">
      <c r="C28" s="20" t="s">
        <v>219</v>
      </c>
      <c r="F28" s="23" t="n">
        <f aca="false">F27/60</f>
        <v>8</v>
      </c>
      <c r="G28" s="2" t="s">
        <v>220</v>
      </c>
    </row>
    <row r="30" customFormat="false" ht="15" hidden="false" customHeight="false" outlineLevel="0" collapsed="false">
      <c r="A30" s="24" t="s">
        <v>221</v>
      </c>
    </row>
    <row r="31" customFormat="false" ht="15" hidden="false" customHeight="false" outlineLevel="0" collapsed="false">
      <c r="A31" s="25" t="s">
        <v>222</v>
      </c>
    </row>
    <row r="32" customFormat="false" ht="15" hidden="false" customHeight="false" outlineLevel="0" collapsed="false">
      <c r="A32" s="25" t="s">
        <v>223</v>
      </c>
    </row>
    <row r="33" customFormat="false" ht="15" hidden="false" customHeight="false" outlineLevel="0" collapsed="false">
      <c r="A33" s="25" t="s">
        <v>224</v>
      </c>
    </row>
    <row r="34" customFormat="false" ht="15" hidden="false" customHeight="false" outlineLevel="0" collapsed="false">
      <c r="A34" s="25"/>
    </row>
    <row r="35" customFormat="false" ht="15" hidden="false" customHeight="false" outlineLevel="0" collapsed="false">
      <c r="A35" s="24" t="s">
        <v>225</v>
      </c>
    </row>
    <row r="36" customFormat="false" ht="15" hidden="false" customHeight="false" outlineLevel="0" collapsed="false">
      <c r="A36" s="26" t="s">
        <v>226</v>
      </c>
    </row>
    <row r="37" customFormat="false" ht="15" hidden="false" customHeight="false" outlineLevel="0" collapsed="false">
      <c r="A37" s="26" t="s">
        <v>227</v>
      </c>
    </row>
    <row r="38" customFormat="false" ht="15" hidden="false" customHeight="false" outlineLevel="0" collapsed="false">
      <c r="A38" s="25"/>
    </row>
    <row r="39" customFormat="false" ht="15" hidden="false" customHeight="false" outlineLevel="0" collapsed="false">
      <c r="A39" s="24" t="s">
        <v>228</v>
      </c>
    </row>
    <row r="40" customFormat="false" ht="15" hidden="false" customHeight="false" outlineLevel="0" collapsed="false">
      <c r="A40" s="25" t="s">
        <v>229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11"/>
    <col collapsed="false" customWidth="true" hidden="false" outlineLevel="0" max="4" min="4" style="0" width="18"/>
    <col collapsed="false" customWidth="true" hidden="false" outlineLevel="0" max="5" min="5" style="0" width="9"/>
    <col collapsed="false" customWidth="true" hidden="false" outlineLevel="0" max="6" min="6" style="0" width="14"/>
    <col collapsed="false" customWidth="true" hidden="false" outlineLevel="0" max="7" min="7" style="0" width="46"/>
    <col collapsed="false" customWidth="true" hidden="false" outlineLevel="0" max="8" min="8" style="0" width="11"/>
    <col collapsed="false" customWidth="true" hidden="false" outlineLevel="0" max="9" min="9" style="0" width="50"/>
    <col collapsed="false" customWidth="true" hidden="false" outlineLevel="0" max="10" min="10" style="0" width="11"/>
    <col collapsed="false" customWidth="true" hidden="false" outlineLevel="0" max="11" min="11" style="0" width="13"/>
    <col collapsed="false" customWidth="true" hidden="false" outlineLevel="0" max="12" min="12" style="0" width="11"/>
  </cols>
  <sheetData>
    <row r="1" customFormat="false" ht="20.1" hidden="false" customHeight="false" outlineLevel="0" collapsed="false">
      <c r="A1" s="27" t="s">
        <v>230</v>
      </c>
    </row>
    <row r="2" customFormat="false" ht="15" hidden="false" customHeight="false" outlineLevel="0" collapsed="false">
      <c r="A2" s="2" t="s">
        <v>231</v>
      </c>
    </row>
    <row r="4" customFormat="false" ht="29.85" hidden="false" customHeight="false" outlineLevel="0" collapsed="false">
      <c r="A4" s="3" t="s">
        <v>232</v>
      </c>
      <c r="B4" s="3" t="s">
        <v>233</v>
      </c>
      <c r="C4" s="3" t="s">
        <v>234</v>
      </c>
      <c r="D4" s="3" t="s">
        <v>235</v>
      </c>
      <c r="E4" s="3" t="s">
        <v>236</v>
      </c>
      <c r="F4" s="3" t="s">
        <v>237</v>
      </c>
      <c r="G4" s="3" t="s">
        <v>238</v>
      </c>
      <c r="H4" s="3" t="s">
        <v>239</v>
      </c>
      <c r="I4" s="3" t="s">
        <v>240</v>
      </c>
      <c r="J4" s="3" t="s">
        <v>241</v>
      </c>
      <c r="K4" s="3" t="s">
        <v>242</v>
      </c>
      <c r="L4" s="3" t="s">
        <v>243</v>
      </c>
    </row>
    <row r="5" customFormat="false" ht="30" hidden="false" customHeight="true" outlineLevel="0" collapsed="false">
      <c r="A5" s="28" t="s">
        <v>244</v>
      </c>
      <c r="B5" s="7" t="s">
        <v>245</v>
      </c>
      <c r="C5" s="29" t="s">
        <v>246</v>
      </c>
      <c r="D5" s="7" t="s">
        <v>247</v>
      </c>
      <c r="E5" s="7" t="s">
        <v>248</v>
      </c>
      <c r="F5" s="30" t="s">
        <v>249</v>
      </c>
      <c r="G5" s="6" t="s">
        <v>250</v>
      </c>
      <c r="H5" s="10" t="s">
        <v>251</v>
      </c>
      <c r="I5" s="7" t="s">
        <v>252</v>
      </c>
      <c r="J5" s="8" t="n">
        <v>0</v>
      </c>
      <c r="K5" s="31"/>
      <c r="L5" s="31"/>
    </row>
    <row r="6" customFormat="false" ht="30" hidden="false" customHeight="true" outlineLevel="0" collapsed="false">
      <c r="A6" s="28" t="s">
        <v>253</v>
      </c>
      <c r="B6" s="7" t="s">
        <v>254</v>
      </c>
      <c r="C6" s="29" t="s">
        <v>246</v>
      </c>
      <c r="D6" s="7" t="s">
        <v>247</v>
      </c>
      <c r="E6" s="7" t="s">
        <v>248</v>
      </c>
      <c r="F6" s="10" t="s">
        <v>87</v>
      </c>
      <c r="G6" s="6" t="s">
        <v>255</v>
      </c>
      <c r="H6" s="10" t="s">
        <v>256</v>
      </c>
      <c r="I6" s="7" t="s">
        <v>257</v>
      </c>
      <c r="J6" s="8" t="n">
        <v>0</v>
      </c>
      <c r="K6" s="31"/>
      <c r="L6" s="31"/>
    </row>
    <row r="7" customFormat="false" ht="30" hidden="false" customHeight="true" outlineLevel="0" collapsed="false">
      <c r="A7" s="28" t="s">
        <v>258</v>
      </c>
      <c r="B7" s="7" t="s">
        <v>259</v>
      </c>
      <c r="C7" s="29" t="s">
        <v>246</v>
      </c>
      <c r="D7" s="7" t="s">
        <v>260</v>
      </c>
      <c r="E7" s="7" t="s">
        <v>261</v>
      </c>
      <c r="F7" s="10" t="s">
        <v>87</v>
      </c>
      <c r="G7" s="6" t="s">
        <v>262</v>
      </c>
      <c r="H7" s="10" t="s">
        <v>256</v>
      </c>
      <c r="I7" s="7" t="s">
        <v>263</v>
      </c>
      <c r="J7" s="8" t="n">
        <v>0</v>
      </c>
      <c r="K7" s="31"/>
      <c r="L7" s="31"/>
    </row>
    <row r="8" customFormat="false" ht="30" hidden="false" customHeight="true" outlineLevel="0" collapsed="false">
      <c r="A8" s="28" t="s">
        <v>264</v>
      </c>
      <c r="B8" s="7" t="s">
        <v>265</v>
      </c>
      <c r="C8" s="29" t="s">
        <v>246</v>
      </c>
      <c r="D8" s="7" t="s">
        <v>247</v>
      </c>
      <c r="E8" s="7" t="s">
        <v>248</v>
      </c>
      <c r="F8" s="10" t="s">
        <v>87</v>
      </c>
      <c r="G8" s="13" t="s">
        <v>266</v>
      </c>
      <c r="H8" s="10" t="s">
        <v>267</v>
      </c>
      <c r="I8" s="7" t="s">
        <v>268</v>
      </c>
      <c r="J8" s="8" t="n">
        <v>0</v>
      </c>
      <c r="K8" s="31"/>
      <c r="L8" s="31"/>
    </row>
    <row r="9" customFormat="false" ht="30" hidden="false" customHeight="true" outlineLevel="0" collapsed="false">
      <c r="A9" s="28" t="s">
        <v>269</v>
      </c>
      <c r="B9" s="7" t="s">
        <v>270</v>
      </c>
      <c r="C9" s="29" t="s">
        <v>246</v>
      </c>
      <c r="D9" s="7" t="s">
        <v>271</v>
      </c>
      <c r="E9" s="7" t="s">
        <v>248</v>
      </c>
      <c r="F9" s="10" t="s">
        <v>87</v>
      </c>
      <c r="G9" s="6" t="s">
        <v>272</v>
      </c>
      <c r="H9" s="10" t="s">
        <v>256</v>
      </c>
      <c r="I9" s="7" t="s">
        <v>273</v>
      </c>
      <c r="J9" s="8" t="n">
        <v>0</v>
      </c>
      <c r="K9" s="31"/>
      <c r="L9" s="31"/>
    </row>
    <row r="10" customFormat="false" ht="30" hidden="false" customHeight="true" outlineLevel="0" collapsed="false">
      <c r="A10" s="28" t="s">
        <v>274</v>
      </c>
      <c r="B10" s="7" t="s">
        <v>275</v>
      </c>
      <c r="C10" s="29" t="s">
        <v>246</v>
      </c>
      <c r="D10" s="7" t="s">
        <v>247</v>
      </c>
      <c r="E10" s="7" t="s">
        <v>261</v>
      </c>
      <c r="F10" s="30" t="s">
        <v>276</v>
      </c>
      <c r="G10" s="6" t="s">
        <v>277</v>
      </c>
      <c r="H10" s="10" t="s">
        <v>278</v>
      </c>
      <c r="I10" s="7" t="s">
        <v>279</v>
      </c>
      <c r="J10" s="8" t="n">
        <v>0</v>
      </c>
      <c r="K10" s="31"/>
      <c r="L10" s="31"/>
    </row>
    <row r="11" customFormat="false" ht="30" hidden="false" customHeight="true" outlineLevel="0" collapsed="false">
      <c r="A11" s="28" t="s">
        <v>280</v>
      </c>
      <c r="B11" s="7" t="s">
        <v>281</v>
      </c>
      <c r="C11" s="29" t="s">
        <v>246</v>
      </c>
      <c r="D11" s="7" t="s">
        <v>282</v>
      </c>
      <c r="E11" s="7" t="s">
        <v>283</v>
      </c>
      <c r="F11" s="10" t="s">
        <v>87</v>
      </c>
      <c r="G11" s="6" t="s">
        <v>284</v>
      </c>
      <c r="H11" s="10" t="s">
        <v>256</v>
      </c>
      <c r="I11" s="7" t="s">
        <v>285</v>
      </c>
      <c r="J11" s="8" t="n">
        <v>0</v>
      </c>
      <c r="K11" s="31"/>
      <c r="L11" s="31"/>
    </row>
    <row r="12" customFormat="false" ht="30" hidden="false" customHeight="true" outlineLevel="0" collapsed="false">
      <c r="A12" s="28" t="s">
        <v>286</v>
      </c>
      <c r="B12" s="10" t="s">
        <v>287</v>
      </c>
      <c r="C12" s="29" t="s">
        <v>246</v>
      </c>
      <c r="D12" s="7" t="s">
        <v>288</v>
      </c>
      <c r="E12" s="7" t="s">
        <v>261</v>
      </c>
      <c r="F12" s="10" t="s">
        <v>87</v>
      </c>
      <c r="G12" s="13" t="s">
        <v>289</v>
      </c>
      <c r="H12" s="10" t="s">
        <v>290</v>
      </c>
      <c r="I12" s="7" t="s">
        <v>291</v>
      </c>
      <c r="J12" s="8" t="n">
        <v>0</v>
      </c>
      <c r="K12" s="31"/>
      <c r="L12" s="31"/>
    </row>
    <row r="13" customFormat="false" ht="30" hidden="false" customHeight="true" outlineLevel="0" collapsed="false">
      <c r="A13" s="28" t="s">
        <v>292</v>
      </c>
      <c r="B13" s="7" t="s">
        <v>293</v>
      </c>
      <c r="C13" s="29" t="s">
        <v>246</v>
      </c>
      <c r="D13" s="7" t="s">
        <v>294</v>
      </c>
      <c r="E13" s="7" t="s">
        <v>248</v>
      </c>
      <c r="F13" s="10" t="s">
        <v>87</v>
      </c>
      <c r="G13" s="6" t="s">
        <v>295</v>
      </c>
      <c r="H13" s="10" t="s">
        <v>296</v>
      </c>
      <c r="I13" s="7" t="s">
        <v>297</v>
      </c>
      <c r="J13" s="8" t="n">
        <v>0</v>
      </c>
      <c r="K13" s="31"/>
      <c r="L13" s="31"/>
    </row>
    <row r="14" customFormat="false" ht="30" hidden="false" customHeight="true" outlineLevel="0" collapsed="false">
      <c r="A14" s="28" t="s">
        <v>298</v>
      </c>
      <c r="B14" s="7" t="s">
        <v>299</v>
      </c>
      <c r="C14" s="29" t="s">
        <v>246</v>
      </c>
      <c r="D14" s="7" t="s">
        <v>247</v>
      </c>
      <c r="E14" s="7" t="s">
        <v>261</v>
      </c>
      <c r="F14" s="10" t="s">
        <v>87</v>
      </c>
      <c r="G14" s="6" t="s">
        <v>300</v>
      </c>
      <c r="H14" s="10" t="s">
        <v>256</v>
      </c>
      <c r="I14" s="7" t="s">
        <v>301</v>
      </c>
      <c r="J14" s="8" t="n">
        <v>0</v>
      </c>
      <c r="K14" s="31"/>
      <c r="L14" s="31"/>
    </row>
    <row r="15" customFormat="false" ht="30" hidden="false" customHeight="true" outlineLevel="0" collapsed="false">
      <c r="A15" s="28" t="s">
        <v>302</v>
      </c>
      <c r="B15" s="7" t="s">
        <v>303</v>
      </c>
      <c r="C15" s="29" t="s">
        <v>246</v>
      </c>
      <c r="D15" s="7" t="s">
        <v>304</v>
      </c>
      <c r="E15" s="7" t="s">
        <v>283</v>
      </c>
      <c r="F15" s="10" t="s">
        <v>87</v>
      </c>
      <c r="G15" s="6" t="s">
        <v>305</v>
      </c>
      <c r="H15" s="10" t="s">
        <v>296</v>
      </c>
      <c r="I15" s="7" t="s">
        <v>306</v>
      </c>
      <c r="J15" s="8" t="n">
        <v>0</v>
      </c>
      <c r="K15" s="31"/>
      <c r="L15" s="31"/>
    </row>
    <row r="16" customFormat="false" ht="30" hidden="false" customHeight="true" outlineLevel="0" collapsed="false">
      <c r="A16" s="28" t="s">
        <v>307</v>
      </c>
      <c r="B16" s="7" t="s">
        <v>308</v>
      </c>
      <c r="C16" s="29" t="s">
        <v>246</v>
      </c>
      <c r="D16" s="7" t="s">
        <v>247</v>
      </c>
      <c r="E16" s="7" t="s">
        <v>248</v>
      </c>
      <c r="F16" s="30" t="s">
        <v>309</v>
      </c>
      <c r="G16" s="6" t="s">
        <v>310</v>
      </c>
      <c r="H16" s="10" t="s">
        <v>278</v>
      </c>
      <c r="I16" s="7" t="s">
        <v>311</v>
      </c>
      <c r="J16" s="8" t="n">
        <v>0</v>
      </c>
      <c r="K16" s="31"/>
      <c r="L16" s="31"/>
    </row>
    <row r="17" customFormat="false" ht="30" hidden="false" customHeight="true" outlineLevel="0" collapsed="false">
      <c r="A17" s="28" t="s">
        <v>312</v>
      </c>
      <c r="B17" s="7" t="s">
        <v>313</v>
      </c>
      <c r="C17" s="29" t="s">
        <v>246</v>
      </c>
      <c r="D17" s="7" t="s">
        <v>314</v>
      </c>
      <c r="E17" s="7" t="s">
        <v>283</v>
      </c>
      <c r="F17" s="10" t="s">
        <v>87</v>
      </c>
      <c r="G17" s="6" t="s">
        <v>315</v>
      </c>
      <c r="H17" s="10" t="s">
        <v>296</v>
      </c>
      <c r="I17" s="7" t="s">
        <v>316</v>
      </c>
      <c r="J17" s="8" t="n">
        <v>0</v>
      </c>
      <c r="K17" s="31"/>
      <c r="L17" s="31"/>
    </row>
    <row r="18" customFormat="false" ht="30" hidden="false" customHeight="true" outlineLevel="0" collapsed="false">
      <c r="A18" s="28" t="s">
        <v>317</v>
      </c>
      <c r="B18" s="7" t="s">
        <v>318</v>
      </c>
      <c r="C18" s="29" t="s">
        <v>246</v>
      </c>
      <c r="D18" s="7" t="s">
        <v>319</v>
      </c>
      <c r="E18" s="7" t="s">
        <v>283</v>
      </c>
      <c r="F18" s="10" t="s">
        <v>87</v>
      </c>
      <c r="G18" s="6" t="s">
        <v>320</v>
      </c>
      <c r="H18" s="10" t="s">
        <v>296</v>
      </c>
      <c r="I18" s="7" t="s">
        <v>321</v>
      </c>
      <c r="J18" s="8" t="n">
        <v>0</v>
      </c>
      <c r="K18" s="31"/>
      <c r="L18" s="31"/>
    </row>
    <row r="19" customFormat="false" ht="30" hidden="false" customHeight="true" outlineLevel="0" collapsed="false">
      <c r="A19" s="28" t="s">
        <v>322</v>
      </c>
      <c r="B19" s="7" t="s">
        <v>323</v>
      </c>
      <c r="C19" s="29" t="s">
        <v>246</v>
      </c>
      <c r="D19" s="7" t="s">
        <v>247</v>
      </c>
      <c r="E19" s="7" t="s">
        <v>261</v>
      </c>
      <c r="F19" s="30" t="s">
        <v>324</v>
      </c>
      <c r="G19" s="6" t="s">
        <v>325</v>
      </c>
      <c r="H19" s="10" t="s">
        <v>278</v>
      </c>
      <c r="I19" s="7" t="s">
        <v>326</v>
      </c>
      <c r="J19" s="8" t="n">
        <v>0</v>
      </c>
      <c r="K19" s="31"/>
      <c r="L19" s="31"/>
    </row>
    <row r="20" customFormat="false" ht="30" hidden="false" customHeight="true" outlineLevel="0" collapsed="false">
      <c r="A20" s="28" t="s">
        <v>327</v>
      </c>
      <c r="B20" s="10" t="s">
        <v>328</v>
      </c>
      <c r="C20" s="32" t="s">
        <v>329</v>
      </c>
      <c r="D20" s="7" t="s">
        <v>330</v>
      </c>
      <c r="E20" s="7" t="s">
        <v>248</v>
      </c>
      <c r="F20" s="10" t="s">
        <v>87</v>
      </c>
      <c r="G20" s="6" t="s">
        <v>331</v>
      </c>
      <c r="H20" s="10" t="s">
        <v>290</v>
      </c>
      <c r="I20" s="7" t="s">
        <v>332</v>
      </c>
      <c r="J20" s="33" t="n">
        <v>1</v>
      </c>
      <c r="K20" s="31"/>
      <c r="L20" s="31"/>
    </row>
    <row r="21" customFormat="false" ht="30" hidden="false" customHeight="true" outlineLevel="0" collapsed="false">
      <c r="A21" s="28" t="s">
        <v>333</v>
      </c>
      <c r="B21" s="7" t="s">
        <v>334</v>
      </c>
      <c r="C21" s="32" t="s">
        <v>329</v>
      </c>
      <c r="D21" s="10" t="s">
        <v>335</v>
      </c>
      <c r="E21" s="7" t="s">
        <v>248</v>
      </c>
      <c r="F21" s="10" t="s">
        <v>87</v>
      </c>
      <c r="G21" s="6" t="s">
        <v>336</v>
      </c>
      <c r="H21" s="10" t="s">
        <v>296</v>
      </c>
      <c r="I21" s="7" t="s">
        <v>337</v>
      </c>
      <c r="J21" s="8" t="n">
        <v>0</v>
      </c>
      <c r="K21" s="31"/>
      <c r="L21" s="31"/>
    </row>
    <row r="22" customFormat="false" ht="30" hidden="false" customHeight="true" outlineLevel="0" collapsed="false">
      <c r="A22" s="28" t="s">
        <v>338</v>
      </c>
      <c r="B22" s="7" t="s">
        <v>339</v>
      </c>
      <c r="C22" s="32" t="s">
        <v>329</v>
      </c>
      <c r="D22" s="10" t="s">
        <v>335</v>
      </c>
      <c r="E22" s="7" t="s">
        <v>283</v>
      </c>
      <c r="F22" s="10" t="s">
        <v>87</v>
      </c>
      <c r="G22" s="13" t="s">
        <v>340</v>
      </c>
      <c r="H22" s="10" t="s">
        <v>341</v>
      </c>
      <c r="I22" s="7" t="s">
        <v>342</v>
      </c>
      <c r="J22" s="8" t="n">
        <v>0</v>
      </c>
      <c r="K22" s="31"/>
      <c r="L22" s="31"/>
    </row>
    <row r="23" customFormat="false" ht="30" hidden="false" customHeight="true" outlineLevel="0" collapsed="false">
      <c r="A23" s="28" t="s">
        <v>343</v>
      </c>
      <c r="B23" s="7" t="s">
        <v>344</v>
      </c>
      <c r="C23" s="32" t="s">
        <v>329</v>
      </c>
      <c r="D23" s="10" t="s">
        <v>335</v>
      </c>
      <c r="E23" s="7" t="s">
        <v>248</v>
      </c>
      <c r="F23" s="10" t="s">
        <v>87</v>
      </c>
      <c r="G23" s="6" t="s">
        <v>345</v>
      </c>
      <c r="H23" s="10" t="s">
        <v>267</v>
      </c>
      <c r="I23" s="7" t="s">
        <v>346</v>
      </c>
      <c r="J23" s="8" t="n">
        <v>0</v>
      </c>
      <c r="K23" s="31"/>
      <c r="L23" s="31"/>
    </row>
    <row r="24" customFormat="false" ht="30" hidden="false" customHeight="true" outlineLevel="0" collapsed="false">
      <c r="A24" s="28" t="s">
        <v>347</v>
      </c>
      <c r="B24" s="7" t="s">
        <v>348</v>
      </c>
      <c r="C24" s="32" t="s">
        <v>329</v>
      </c>
      <c r="D24" s="10" t="s">
        <v>335</v>
      </c>
      <c r="E24" s="7" t="s">
        <v>261</v>
      </c>
      <c r="F24" s="10" t="s">
        <v>87</v>
      </c>
      <c r="G24" s="6" t="s">
        <v>349</v>
      </c>
      <c r="H24" s="10" t="s">
        <v>296</v>
      </c>
      <c r="I24" s="7" t="s">
        <v>350</v>
      </c>
      <c r="J24" s="8" t="n">
        <v>0</v>
      </c>
      <c r="K24" s="31"/>
      <c r="L24" s="31"/>
    </row>
    <row r="25" customFormat="false" ht="30" hidden="false" customHeight="true" outlineLevel="0" collapsed="false">
      <c r="A25" s="28" t="s">
        <v>351</v>
      </c>
      <c r="B25" s="7" t="s">
        <v>352</v>
      </c>
      <c r="C25" s="32" t="s">
        <v>329</v>
      </c>
      <c r="D25" s="10" t="s">
        <v>335</v>
      </c>
      <c r="E25" s="7" t="s">
        <v>248</v>
      </c>
      <c r="F25" s="30" t="s">
        <v>353</v>
      </c>
      <c r="G25" s="6" t="s">
        <v>354</v>
      </c>
      <c r="H25" s="10" t="s">
        <v>278</v>
      </c>
      <c r="I25" s="7" t="s">
        <v>355</v>
      </c>
      <c r="J25" s="33" t="n">
        <v>1</v>
      </c>
      <c r="K25" s="31"/>
      <c r="L25" s="31"/>
    </row>
    <row r="26" customFormat="false" ht="30" hidden="false" customHeight="true" outlineLevel="0" collapsed="false">
      <c r="A26" s="28" t="s">
        <v>356</v>
      </c>
      <c r="B26" s="7" t="s">
        <v>357</v>
      </c>
      <c r="C26" s="34" t="s">
        <v>358</v>
      </c>
      <c r="D26" s="7" t="s">
        <v>359</v>
      </c>
      <c r="E26" s="7" t="s">
        <v>360</v>
      </c>
      <c r="F26" s="10" t="s">
        <v>87</v>
      </c>
      <c r="G26" s="6" t="s">
        <v>361</v>
      </c>
      <c r="H26" s="10" t="s">
        <v>296</v>
      </c>
      <c r="I26" s="7" t="s">
        <v>362</v>
      </c>
      <c r="J26" s="33" t="n">
        <v>1</v>
      </c>
      <c r="K26" s="31"/>
      <c r="L26" s="31"/>
    </row>
    <row r="27" customFormat="false" ht="30" hidden="false" customHeight="true" outlineLevel="0" collapsed="false">
      <c r="A27" s="28" t="s">
        <v>363</v>
      </c>
      <c r="B27" s="7" t="s">
        <v>364</v>
      </c>
      <c r="C27" s="34" t="s">
        <v>358</v>
      </c>
      <c r="D27" s="7" t="s">
        <v>365</v>
      </c>
      <c r="E27" s="7" t="s">
        <v>283</v>
      </c>
      <c r="F27" s="10" t="s">
        <v>87</v>
      </c>
      <c r="G27" s="6" t="s">
        <v>366</v>
      </c>
      <c r="H27" s="10" t="s">
        <v>296</v>
      </c>
      <c r="I27" s="7" t="s">
        <v>367</v>
      </c>
      <c r="J27" s="8" t="n">
        <v>0</v>
      </c>
      <c r="K27" s="31"/>
      <c r="L27" s="31"/>
    </row>
    <row r="28" customFormat="false" ht="30" hidden="false" customHeight="true" outlineLevel="0" collapsed="false">
      <c r="A28" s="28" t="s">
        <v>368</v>
      </c>
      <c r="B28" s="7" t="s">
        <v>369</v>
      </c>
      <c r="C28" s="34" t="s">
        <v>358</v>
      </c>
      <c r="D28" s="7" t="s">
        <v>359</v>
      </c>
      <c r="E28" s="7" t="s">
        <v>370</v>
      </c>
      <c r="F28" s="10" t="s">
        <v>87</v>
      </c>
      <c r="G28" s="6" t="s">
        <v>371</v>
      </c>
      <c r="H28" s="10" t="s">
        <v>296</v>
      </c>
      <c r="I28" s="7" t="s">
        <v>372</v>
      </c>
      <c r="J28" s="8" t="n">
        <v>0</v>
      </c>
      <c r="K28" s="31"/>
      <c r="L28" s="31"/>
    </row>
    <row r="29" customFormat="false" ht="30" hidden="false" customHeight="true" outlineLevel="0" collapsed="false">
      <c r="A29" s="28" t="s">
        <v>373</v>
      </c>
      <c r="B29" s="7" t="s">
        <v>374</v>
      </c>
      <c r="C29" s="34" t="s">
        <v>358</v>
      </c>
      <c r="D29" s="7" t="s">
        <v>359</v>
      </c>
      <c r="E29" s="7" t="s">
        <v>248</v>
      </c>
      <c r="F29" s="30" t="s">
        <v>309</v>
      </c>
      <c r="G29" s="6" t="s">
        <v>375</v>
      </c>
      <c r="H29" s="10" t="s">
        <v>376</v>
      </c>
      <c r="I29" s="7" t="s">
        <v>377</v>
      </c>
      <c r="J29" s="33" t="n">
        <v>1</v>
      </c>
      <c r="K29" s="31"/>
      <c r="L29" s="31"/>
    </row>
    <row r="30" customFormat="false" ht="30" hidden="false" customHeight="true" outlineLevel="0" collapsed="false">
      <c r="A30" s="28" t="s">
        <v>378</v>
      </c>
      <c r="B30" s="7" t="s">
        <v>379</v>
      </c>
      <c r="C30" s="34" t="s">
        <v>358</v>
      </c>
      <c r="D30" s="10" t="s">
        <v>380</v>
      </c>
      <c r="E30" s="7" t="s">
        <v>248</v>
      </c>
      <c r="F30" s="30" t="s">
        <v>381</v>
      </c>
      <c r="G30" s="6" t="s">
        <v>382</v>
      </c>
      <c r="H30" s="10" t="s">
        <v>296</v>
      </c>
      <c r="I30" s="7" t="s">
        <v>383</v>
      </c>
      <c r="J30" s="8" t="n">
        <v>0</v>
      </c>
      <c r="K30" s="31"/>
      <c r="L30" s="31"/>
    </row>
    <row r="31" customFormat="false" ht="30" hidden="false" customHeight="true" outlineLevel="0" collapsed="false">
      <c r="A31" s="28" t="s">
        <v>384</v>
      </c>
      <c r="B31" s="7" t="s">
        <v>385</v>
      </c>
      <c r="C31" s="34" t="s">
        <v>358</v>
      </c>
      <c r="D31" s="7" t="s">
        <v>386</v>
      </c>
      <c r="E31" s="7" t="s">
        <v>261</v>
      </c>
      <c r="F31" s="30" t="s">
        <v>276</v>
      </c>
      <c r="G31" s="6" t="s">
        <v>387</v>
      </c>
      <c r="H31" s="10" t="s">
        <v>376</v>
      </c>
      <c r="I31" s="7" t="s">
        <v>388</v>
      </c>
      <c r="J31" s="8" t="n">
        <v>0</v>
      </c>
      <c r="K31" s="31"/>
      <c r="L31" s="31"/>
    </row>
    <row r="32" customFormat="false" ht="30" hidden="false" customHeight="true" outlineLevel="0" collapsed="false">
      <c r="A32" s="28" t="s">
        <v>389</v>
      </c>
      <c r="B32" s="7" t="s">
        <v>390</v>
      </c>
      <c r="C32" s="35" t="s">
        <v>391</v>
      </c>
      <c r="D32" s="7" t="s">
        <v>392</v>
      </c>
      <c r="E32" s="7" t="s">
        <v>283</v>
      </c>
      <c r="F32" s="10" t="s">
        <v>87</v>
      </c>
      <c r="G32" s="6" t="s">
        <v>393</v>
      </c>
      <c r="H32" s="10" t="s">
        <v>296</v>
      </c>
      <c r="I32" s="7" t="s">
        <v>394</v>
      </c>
      <c r="J32" s="8" t="n">
        <v>0</v>
      </c>
      <c r="K32" s="31"/>
      <c r="L32" s="31"/>
    </row>
    <row r="33" customFormat="false" ht="30" hidden="false" customHeight="true" outlineLevel="0" collapsed="false">
      <c r="A33" s="28" t="s">
        <v>395</v>
      </c>
      <c r="B33" s="7" t="s">
        <v>396</v>
      </c>
      <c r="C33" s="35" t="s">
        <v>391</v>
      </c>
      <c r="D33" s="7" t="s">
        <v>397</v>
      </c>
      <c r="E33" s="7" t="s">
        <v>283</v>
      </c>
      <c r="F33" s="10" t="s">
        <v>87</v>
      </c>
      <c r="G33" s="6" t="s">
        <v>398</v>
      </c>
      <c r="H33" s="10" t="s">
        <v>296</v>
      </c>
      <c r="I33" s="7" t="s">
        <v>399</v>
      </c>
      <c r="J33" s="8" t="n">
        <v>0</v>
      </c>
      <c r="K33" s="31"/>
      <c r="L33" s="31"/>
    </row>
    <row r="34" customFormat="false" ht="30" hidden="false" customHeight="true" outlineLevel="0" collapsed="false">
      <c r="A34" s="28" t="s">
        <v>400</v>
      </c>
      <c r="B34" s="7" t="s">
        <v>401</v>
      </c>
      <c r="C34" s="35" t="s">
        <v>391</v>
      </c>
      <c r="D34" s="7" t="s">
        <v>402</v>
      </c>
      <c r="E34" s="7" t="s">
        <v>261</v>
      </c>
      <c r="F34" s="10" t="s">
        <v>87</v>
      </c>
      <c r="G34" s="6" t="s">
        <v>403</v>
      </c>
      <c r="H34" s="10" t="s">
        <v>296</v>
      </c>
      <c r="I34" s="7" t="s">
        <v>404</v>
      </c>
      <c r="J34" s="33" t="n">
        <v>1</v>
      </c>
      <c r="K34" s="31"/>
      <c r="L34" s="31"/>
    </row>
    <row r="35" customFormat="false" ht="30" hidden="false" customHeight="true" outlineLevel="0" collapsed="false">
      <c r="A35" s="28" t="s">
        <v>405</v>
      </c>
      <c r="B35" s="7" t="s">
        <v>406</v>
      </c>
      <c r="C35" s="35" t="s">
        <v>391</v>
      </c>
      <c r="D35" s="7" t="s">
        <v>392</v>
      </c>
      <c r="E35" s="7" t="s">
        <v>283</v>
      </c>
      <c r="F35" s="10" t="s">
        <v>87</v>
      </c>
      <c r="G35" s="6" t="s">
        <v>407</v>
      </c>
      <c r="H35" s="10" t="s">
        <v>296</v>
      </c>
      <c r="I35" s="7" t="s">
        <v>408</v>
      </c>
      <c r="J35" s="8" t="n">
        <v>0</v>
      </c>
      <c r="K35" s="31"/>
      <c r="L35" s="31"/>
    </row>
    <row r="36" customFormat="false" ht="30" hidden="false" customHeight="true" outlineLevel="0" collapsed="false">
      <c r="A36" s="28" t="s">
        <v>409</v>
      </c>
      <c r="B36" s="7" t="s">
        <v>410</v>
      </c>
      <c r="C36" s="35" t="s">
        <v>411</v>
      </c>
      <c r="D36" s="7" t="s">
        <v>412</v>
      </c>
      <c r="E36" s="7" t="s">
        <v>261</v>
      </c>
      <c r="F36" s="10" t="s">
        <v>87</v>
      </c>
      <c r="G36" s="6" t="s">
        <v>413</v>
      </c>
      <c r="H36" s="10" t="s">
        <v>296</v>
      </c>
      <c r="I36" s="7" t="s">
        <v>414</v>
      </c>
      <c r="J36" s="8" t="n">
        <v>0</v>
      </c>
      <c r="K36" s="31"/>
      <c r="L36" s="31"/>
    </row>
    <row r="37" customFormat="false" ht="30" hidden="false" customHeight="true" outlineLevel="0" collapsed="false">
      <c r="A37" s="28" t="s">
        <v>415</v>
      </c>
      <c r="B37" s="7" t="s">
        <v>416</v>
      </c>
      <c r="C37" s="35" t="s">
        <v>411</v>
      </c>
      <c r="D37" s="7" t="s">
        <v>412</v>
      </c>
      <c r="E37" s="7" t="s">
        <v>283</v>
      </c>
      <c r="F37" s="10" t="s">
        <v>87</v>
      </c>
      <c r="G37" s="6" t="s">
        <v>417</v>
      </c>
      <c r="H37" s="10" t="s">
        <v>296</v>
      </c>
      <c r="I37" s="7" t="s">
        <v>418</v>
      </c>
      <c r="J37" s="8" t="n">
        <v>0</v>
      </c>
      <c r="K37" s="31"/>
      <c r="L37" s="31"/>
    </row>
    <row r="38" customFormat="false" ht="30" hidden="false" customHeight="true" outlineLevel="0" collapsed="false">
      <c r="A38" s="28" t="s">
        <v>419</v>
      </c>
      <c r="B38" s="7" t="s">
        <v>420</v>
      </c>
      <c r="C38" s="35" t="s">
        <v>411</v>
      </c>
      <c r="D38" s="7" t="s">
        <v>412</v>
      </c>
      <c r="E38" s="7" t="s">
        <v>283</v>
      </c>
      <c r="F38" s="10" t="s">
        <v>87</v>
      </c>
      <c r="G38" s="6" t="s">
        <v>421</v>
      </c>
      <c r="H38" s="10" t="s">
        <v>296</v>
      </c>
      <c r="I38" s="7" t="s">
        <v>422</v>
      </c>
      <c r="J38" s="8" t="n">
        <v>0</v>
      </c>
      <c r="K38" s="31"/>
      <c r="L38" s="31"/>
    </row>
    <row r="39" customFormat="false" ht="30" hidden="false" customHeight="true" outlineLevel="0" collapsed="false">
      <c r="A39" s="28" t="s">
        <v>423</v>
      </c>
      <c r="B39" s="7" t="s">
        <v>424</v>
      </c>
      <c r="C39" s="35" t="s">
        <v>411</v>
      </c>
      <c r="D39" s="7" t="s">
        <v>412</v>
      </c>
      <c r="E39" s="7" t="s">
        <v>261</v>
      </c>
      <c r="F39" s="10" t="s">
        <v>87</v>
      </c>
      <c r="G39" s="6" t="s">
        <v>425</v>
      </c>
      <c r="H39" s="10" t="s">
        <v>296</v>
      </c>
      <c r="I39" s="7" t="s">
        <v>426</v>
      </c>
      <c r="J39" s="8" t="n">
        <v>0</v>
      </c>
      <c r="K39" s="31"/>
      <c r="L39" s="31"/>
    </row>
    <row r="40" customFormat="false" ht="30" hidden="false" customHeight="true" outlineLevel="0" collapsed="false">
      <c r="A40" s="28" t="s">
        <v>427</v>
      </c>
      <c r="B40" s="7" t="s">
        <v>428</v>
      </c>
      <c r="C40" s="35" t="s">
        <v>429</v>
      </c>
      <c r="D40" s="7" t="s">
        <v>430</v>
      </c>
      <c r="E40" s="7" t="s">
        <v>261</v>
      </c>
      <c r="F40" s="10" t="s">
        <v>87</v>
      </c>
      <c r="G40" s="6" t="s">
        <v>431</v>
      </c>
      <c r="H40" s="10" t="s">
        <v>296</v>
      </c>
      <c r="I40" s="7" t="s">
        <v>432</v>
      </c>
      <c r="J40" s="33" t="n">
        <v>1</v>
      </c>
      <c r="K40" s="31"/>
      <c r="L40" s="31"/>
    </row>
    <row r="41" customFormat="false" ht="30" hidden="false" customHeight="true" outlineLevel="0" collapsed="false">
      <c r="A41" s="28" t="s">
        <v>433</v>
      </c>
      <c r="B41" s="7" t="s">
        <v>434</v>
      </c>
      <c r="C41" s="35" t="s">
        <v>429</v>
      </c>
      <c r="D41" s="7" t="s">
        <v>435</v>
      </c>
      <c r="E41" s="7" t="s">
        <v>360</v>
      </c>
      <c r="F41" s="10" t="s">
        <v>87</v>
      </c>
      <c r="G41" s="6" t="s">
        <v>436</v>
      </c>
      <c r="H41" s="10" t="s">
        <v>296</v>
      </c>
      <c r="I41" s="7" t="s">
        <v>437</v>
      </c>
      <c r="J41" s="8" t="n">
        <v>0</v>
      </c>
      <c r="K41" s="31"/>
      <c r="L41" s="31"/>
    </row>
    <row r="42" customFormat="false" ht="30" hidden="false" customHeight="true" outlineLevel="0" collapsed="false">
      <c r="A42" s="28" t="s">
        <v>438</v>
      </c>
      <c r="B42" s="7" t="s">
        <v>439</v>
      </c>
      <c r="C42" s="35" t="s">
        <v>429</v>
      </c>
      <c r="D42" s="7" t="s">
        <v>435</v>
      </c>
      <c r="E42" s="7" t="s">
        <v>360</v>
      </c>
      <c r="F42" s="10" t="s">
        <v>87</v>
      </c>
      <c r="G42" s="6" t="s">
        <v>440</v>
      </c>
      <c r="H42" s="10" t="s">
        <v>296</v>
      </c>
      <c r="I42" s="7" t="s">
        <v>441</v>
      </c>
      <c r="J42" s="33" t="n">
        <v>1</v>
      </c>
      <c r="K42" s="31"/>
      <c r="L42" s="31"/>
    </row>
    <row r="43" customFormat="false" ht="30" hidden="false" customHeight="true" outlineLevel="0" collapsed="false">
      <c r="A43" s="28" t="s">
        <v>442</v>
      </c>
      <c r="B43" s="7" t="s">
        <v>443</v>
      </c>
      <c r="C43" s="35" t="s">
        <v>444</v>
      </c>
      <c r="D43" s="7" t="s">
        <v>445</v>
      </c>
      <c r="E43" s="7" t="s">
        <v>261</v>
      </c>
      <c r="F43" s="30" t="s">
        <v>446</v>
      </c>
      <c r="G43" s="6" t="s">
        <v>447</v>
      </c>
      <c r="H43" s="10" t="s">
        <v>296</v>
      </c>
      <c r="I43" s="7" t="s">
        <v>448</v>
      </c>
      <c r="J43" s="8" t="n">
        <v>0</v>
      </c>
      <c r="K43" s="31"/>
      <c r="L43" s="31"/>
    </row>
    <row r="44" customFormat="false" ht="30" hidden="false" customHeight="true" outlineLevel="0" collapsed="false">
      <c r="A44" s="28" t="s">
        <v>449</v>
      </c>
      <c r="B44" s="10" t="s">
        <v>450</v>
      </c>
      <c r="C44" s="35" t="s">
        <v>444</v>
      </c>
      <c r="D44" s="7" t="s">
        <v>445</v>
      </c>
      <c r="E44" s="7" t="s">
        <v>283</v>
      </c>
      <c r="F44" s="10" t="s">
        <v>87</v>
      </c>
      <c r="G44" s="6" t="s">
        <v>451</v>
      </c>
      <c r="H44" s="10" t="s">
        <v>296</v>
      </c>
      <c r="I44" s="7" t="s">
        <v>452</v>
      </c>
      <c r="J44" s="8" t="n">
        <v>0</v>
      </c>
      <c r="K44" s="31"/>
      <c r="L44" s="31"/>
    </row>
    <row r="45" customFormat="false" ht="30" hidden="false" customHeight="true" outlineLevel="0" collapsed="false">
      <c r="A45" s="28" t="s">
        <v>453</v>
      </c>
      <c r="B45" s="7" t="s">
        <v>454</v>
      </c>
      <c r="C45" s="35" t="s">
        <v>444</v>
      </c>
      <c r="D45" s="7" t="s">
        <v>455</v>
      </c>
      <c r="E45" s="7" t="s">
        <v>283</v>
      </c>
      <c r="F45" s="10" t="s">
        <v>87</v>
      </c>
      <c r="G45" s="6" t="s">
        <v>456</v>
      </c>
      <c r="H45" s="10" t="s">
        <v>296</v>
      </c>
      <c r="I45" s="7" t="s">
        <v>457</v>
      </c>
      <c r="J45" s="8" t="n">
        <v>0</v>
      </c>
      <c r="K45" s="31"/>
      <c r="L45" s="31"/>
    </row>
    <row r="47" customFormat="false" ht="15" hidden="false" customHeight="false" outlineLevel="0" collapsed="false">
      <c r="A47" s="24" t="s">
        <v>458</v>
      </c>
    </row>
    <row r="48" customFormat="false" ht="15" hidden="false" customHeight="false" outlineLevel="0" collapsed="false">
      <c r="B48" s="20" t="s">
        <v>459</v>
      </c>
      <c r="C48" s="36" t="n">
        <f aca="false">SUM(K5:K45)</f>
        <v>0</v>
      </c>
    </row>
    <row r="49" customFormat="false" ht="15" hidden="false" customHeight="false" outlineLevel="0" collapsed="false">
      <c r="B49" s="20" t="s">
        <v>460</v>
      </c>
      <c r="C49" s="36" t="n">
        <f aca="false">SUMIFS(K5:K45,F5:F45,"&lt;&gt;-")</f>
        <v>0</v>
      </c>
    </row>
    <row r="50" customFormat="false" ht="15" hidden="false" customHeight="false" outlineLevel="0" collapsed="false">
      <c r="B50" s="20" t="s">
        <v>461</v>
      </c>
      <c r="C50" s="36" t="n">
        <f aca="false">SUM(L5:L45)</f>
        <v>0</v>
      </c>
    </row>
    <row r="51" customFormat="false" ht="15" hidden="false" customHeight="false" outlineLevel="0" collapsed="false">
      <c r="B51" s="20" t="s">
        <v>462</v>
      </c>
      <c r="C51" s="36" t="n">
        <f aca="false">SUMIFS(K5:K45,J5:J45,1)</f>
        <v>0</v>
      </c>
    </row>
    <row r="53" customFormat="false" ht="15" hidden="false" customHeight="false" outlineLevel="0" collapsed="false">
      <c r="A53" s="24" t="s">
        <v>463</v>
      </c>
    </row>
    <row r="54" customFormat="false" ht="15" hidden="false" customHeight="false" outlineLevel="0" collapsed="false">
      <c r="A54" s="3" t="s">
        <v>234</v>
      </c>
      <c r="B54" s="3" t="s">
        <v>464</v>
      </c>
      <c r="C54" s="3" t="s">
        <v>465</v>
      </c>
      <c r="D54" s="3" t="s">
        <v>466</v>
      </c>
    </row>
    <row r="55" customFormat="false" ht="29.85" hidden="false" customHeight="false" outlineLevel="0" collapsed="false">
      <c r="A55" s="10" t="s">
        <v>467</v>
      </c>
      <c r="B55" s="8" t="s">
        <v>468</v>
      </c>
      <c r="C55" s="7" t="s">
        <v>469</v>
      </c>
      <c r="D55" s="7" t="s">
        <v>470</v>
      </c>
    </row>
    <row r="56" customFormat="false" ht="44" hidden="false" customHeight="false" outlineLevel="0" collapsed="false">
      <c r="A56" s="10" t="s">
        <v>471</v>
      </c>
      <c r="B56" s="8" t="s">
        <v>472</v>
      </c>
      <c r="C56" s="7" t="s">
        <v>473</v>
      </c>
      <c r="D56" s="7" t="s">
        <v>474</v>
      </c>
    </row>
    <row r="57" customFormat="false" ht="29.85" hidden="false" customHeight="false" outlineLevel="0" collapsed="false">
      <c r="A57" s="10" t="s">
        <v>475</v>
      </c>
      <c r="B57" s="8" t="s">
        <v>472</v>
      </c>
      <c r="C57" s="7" t="s">
        <v>476</v>
      </c>
      <c r="D57" s="7" t="s">
        <v>477</v>
      </c>
    </row>
    <row r="58" customFormat="false" ht="29.85" hidden="false" customHeight="false" outlineLevel="0" collapsed="false">
      <c r="A58" s="10" t="s">
        <v>478</v>
      </c>
      <c r="B58" s="8" t="s">
        <v>479</v>
      </c>
      <c r="C58" s="7" t="s">
        <v>480</v>
      </c>
      <c r="D58" s="7" t="s">
        <v>481</v>
      </c>
    </row>
    <row r="59" customFormat="false" ht="15" hidden="false" customHeight="false" outlineLevel="0" collapsed="false">
      <c r="A59" s="7" t="s">
        <v>482</v>
      </c>
      <c r="B59" s="8" t="s">
        <v>483</v>
      </c>
      <c r="C59" s="7"/>
      <c r="D59" s="7"/>
    </row>
    <row r="61" customFormat="false" ht="15" hidden="false" customHeight="false" outlineLevel="0" collapsed="false">
      <c r="A61" s="37" t="s">
        <v>484</v>
      </c>
    </row>
    <row r="62" customFormat="false" ht="15" hidden="false" customHeight="false" outlineLevel="0" collapsed="false">
      <c r="A62" s="38" t="s">
        <v>485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12"/>
    <col collapsed="false" customWidth="true" hidden="false" outlineLevel="0" max="4" min="4" style="0" width="14"/>
    <col collapsed="false" customWidth="true" hidden="false" outlineLevel="0" max="5" min="5" style="0" width="13"/>
    <col collapsed="false" customWidth="true" hidden="false" outlineLevel="0" max="6" min="6" style="0" width="14"/>
    <col collapsed="false" customWidth="true" hidden="false" outlineLevel="0" max="7" min="7" style="0" width="10"/>
    <col collapsed="false" customWidth="true" hidden="false" outlineLevel="0" max="8" min="8" style="0" width="12"/>
    <col collapsed="false" customWidth="true" hidden="false" outlineLevel="0" max="9" min="9" style="0" width="14"/>
    <col collapsed="false" customWidth="true" hidden="false" outlineLevel="0" max="10" min="10" style="0" width="18"/>
    <col collapsed="false" customWidth="true" hidden="false" outlineLevel="0" max="11" min="11" style="0" width="10"/>
    <col collapsed="false" customWidth="true" hidden="false" outlineLevel="0" max="12" min="12" style="0" width="30"/>
  </cols>
  <sheetData>
    <row r="1" customFormat="false" ht="20.1" hidden="false" customHeight="false" outlineLevel="0" collapsed="false">
      <c r="A1" s="39" t="s">
        <v>486</v>
      </c>
    </row>
    <row r="2" customFormat="false" ht="15" hidden="false" customHeight="false" outlineLevel="0" collapsed="false">
      <c r="A2" s="2" t="s">
        <v>487</v>
      </c>
    </row>
    <row r="4" customFormat="false" ht="45.75" hidden="false" customHeight="true" outlineLevel="0" collapsed="false">
      <c r="A4" s="40" t="s">
        <v>488</v>
      </c>
      <c r="B4" s="3" t="s">
        <v>489</v>
      </c>
      <c r="C4" s="3" t="s">
        <v>490</v>
      </c>
      <c r="D4" s="3" t="s">
        <v>491</v>
      </c>
      <c r="E4" s="3" t="s">
        <v>492</v>
      </c>
      <c r="F4" s="3" t="s">
        <v>493</v>
      </c>
      <c r="G4" s="3" t="s">
        <v>494</v>
      </c>
      <c r="H4" s="3" t="s">
        <v>495</v>
      </c>
      <c r="I4" s="3" t="s">
        <v>496</v>
      </c>
      <c r="J4" s="3" t="s">
        <v>497</v>
      </c>
      <c r="K4" s="3" t="s">
        <v>498</v>
      </c>
      <c r="L4" s="3" t="s">
        <v>499</v>
      </c>
    </row>
    <row r="5" customFormat="false" ht="15" hidden="false" customHeight="false" outlineLevel="0" collapsed="false">
      <c r="A5" s="7" t="n">
        <v>1</v>
      </c>
      <c r="B5" s="41" t="s">
        <v>500</v>
      </c>
      <c r="C5" s="7" t="s">
        <v>501</v>
      </c>
      <c r="D5" s="42" t="s">
        <v>502</v>
      </c>
      <c r="E5" s="42" t="n">
        <v>3</v>
      </c>
      <c r="F5" s="42" t="n">
        <v>1</v>
      </c>
      <c r="G5" s="42" t="n">
        <v>2</v>
      </c>
      <c r="H5" s="42" t="n">
        <v>1</v>
      </c>
      <c r="I5" s="42" t="n">
        <v>1</v>
      </c>
      <c r="J5" s="42" t="n">
        <v>1</v>
      </c>
      <c r="K5" s="42" t="n">
        <f aca="false">IF(D5="","",IF(D5="擴散",IF(E5&gt;=1,1,0),IF(COUNT(E5:J5)&lt;6,"",IF(AND(E5&gt;=3,F5&gt;=1,G5&gt;=2,H5&gt;=1,I5=1,J5=1),1,0))))</f>
        <v>1</v>
      </c>
      <c r="L5" s="7"/>
    </row>
    <row r="6" customFormat="false" ht="15" hidden="false" customHeight="false" outlineLevel="0" collapsed="false">
      <c r="A6" s="7" t="n">
        <v>2</v>
      </c>
      <c r="B6" s="42"/>
      <c r="C6" s="42"/>
      <c r="D6" s="42"/>
      <c r="E6" s="42"/>
      <c r="F6" s="42"/>
      <c r="G6" s="42"/>
      <c r="H6" s="42"/>
      <c r="I6" s="42"/>
      <c r="J6" s="42"/>
      <c r="K6" s="42" t="str">
        <f aca="false">IF(D6="","",IF(D6="擴散",IF(E6&gt;=1,1,0),IF(COUNT(E6:J6)&lt;6,"",IF(AND(E6&gt;=3,F6&gt;=1,G6&gt;=2,H6&gt;=1,I6=1,J6=1),1,0))))</f>
        <v/>
      </c>
      <c r="L6" s="7"/>
    </row>
    <row r="7" customFormat="false" ht="15" hidden="false" customHeight="false" outlineLevel="0" collapsed="false">
      <c r="A7" s="7" t="n">
        <v>3</v>
      </c>
      <c r="B7" s="42"/>
      <c r="C7" s="42"/>
      <c r="D7" s="42"/>
      <c r="E7" s="42"/>
      <c r="F7" s="42"/>
      <c r="G7" s="42"/>
      <c r="H7" s="42"/>
      <c r="I7" s="42"/>
      <c r="J7" s="42"/>
      <c r="K7" s="42" t="str">
        <f aca="false">IF(D7="","",IF(D7="擴散",IF(E7&gt;=1,1,0),IF(COUNT(E7:J7)&lt;6,"",IF(AND(E7&gt;=3,F7&gt;=1,G7&gt;=2,H7&gt;=1,I7=1,J7=1),1,0))))</f>
        <v/>
      </c>
      <c r="L7" s="7"/>
    </row>
    <row r="8" customFormat="false" ht="15" hidden="false" customHeight="false" outlineLevel="0" collapsed="false">
      <c r="A8" s="7" t="n">
        <v>4</v>
      </c>
      <c r="B8" s="42"/>
      <c r="C8" s="42"/>
      <c r="D8" s="42"/>
      <c r="E8" s="42"/>
      <c r="F8" s="42"/>
      <c r="G8" s="42"/>
      <c r="H8" s="42"/>
      <c r="I8" s="42"/>
      <c r="J8" s="42"/>
      <c r="K8" s="42" t="str">
        <f aca="false">IF(D8="","",IF(D8="擴散",IF(E8&gt;=1,1,0),IF(COUNT(E8:J8)&lt;6,"",IF(AND(E8&gt;=3,F8&gt;=1,G8&gt;=2,H8&gt;=1,I8=1,J8=1),1,0))))</f>
        <v/>
      </c>
      <c r="L8" s="7"/>
    </row>
    <row r="9" customFormat="false" ht="15" hidden="false" customHeight="false" outlineLevel="0" collapsed="false">
      <c r="A9" s="7" t="n">
        <v>5</v>
      </c>
      <c r="B9" s="42"/>
      <c r="C9" s="42"/>
      <c r="D9" s="42"/>
      <c r="E9" s="42"/>
      <c r="F9" s="42"/>
      <c r="G9" s="42"/>
      <c r="H9" s="42"/>
      <c r="I9" s="42"/>
      <c r="J9" s="42"/>
      <c r="K9" s="42" t="str">
        <f aca="false">IF(D9="","",IF(D9="擴散",IF(E9&gt;=1,1,0),IF(COUNT(E9:J9)&lt;6,"",IF(AND(E9&gt;=3,F9&gt;=1,G9&gt;=2,H9&gt;=1,I9=1,J9=1),1,0))))</f>
        <v/>
      </c>
      <c r="L9" s="7"/>
    </row>
    <row r="10" customFormat="false" ht="15" hidden="false" customHeight="false" outlineLevel="0" collapsed="false">
      <c r="A10" s="7" t="n">
        <v>6</v>
      </c>
      <c r="B10" s="42"/>
      <c r="C10" s="42"/>
      <c r="D10" s="42"/>
      <c r="E10" s="42"/>
      <c r="F10" s="42"/>
      <c r="G10" s="42"/>
      <c r="H10" s="42"/>
      <c r="I10" s="42"/>
      <c r="J10" s="42"/>
      <c r="K10" s="42" t="str">
        <f aca="false">IF(D10="","",IF(D10="擴散",IF(E10&gt;=1,1,0),IF(COUNT(E10:J10)&lt;6,"",IF(AND(E10&gt;=3,F10&gt;=1,G10&gt;=2,H10&gt;=1,I10=1,J10=1),1,0))))</f>
        <v/>
      </c>
      <c r="L10" s="7"/>
    </row>
    <row r="11" customFormat="false" ht="15" hidden="false" customHeight="false" outlineLevel="0" collapsed="false">
      <c r="A11" s="7" t="n">
        <v>7</v>
      </c>
      <c r="B11" s="42"/>
      <c r="C11" s="42"/>
      <c r="D11" s="42"/>
      <c r="E11" s="42"/>
      <c r="F11" s="42"/>
      <c r="G11" s="42"/>
      <c r="H11" s="42"/>
      <c r="I11" s="42"/>
      <c r="J11" s="42"/>
      <c r="K11" s="42" t="str">
        <f aca="false">IF(D11="","",IF(D11="擴散",IF(E11&gt;=1,1,0),IF(COUNT(E11:J11)&lt;6,"",IF(AND(E11&gt;=3,F11&gt;=1,G11&gt;=2,H11&gt;=1,I11=1,J11=1),1,0))))</f>
        <v/>
      </c>
      <c r="L11" s="7"/>
    </row>
    <row r="12" customFormat="false" ht="15" hidden="false" customHeight="false" outlineLevel="0" collapsed="false">
      <c r="A12" s="7" t="n">
        <v>8</v>
      </c>
      <c r="B12" s="42"/>
      <c r="C12" s="42"/>
      <c r="D12" s="42"/>
      <c r="E12" s="42"/>
      <c r="F12" s="42"/>
      <c r="G12" s="42"/>
      <c r="H12" s="42"/>
      <c r="I12" s="42"/>
      <c r="J12" s="42"/>
      <c r="K12" s="42" t="str">
        <f aca="false">IF(D12="","",IF(D12="擴散",IF(E12&gt;=1,1,0),IF(COUNT(E12:J12)&lt;6,"",IF(AND(E12&gt;=3,F12&gt;=1,G12&gt;=2,H12&gt;=1,I12=1,J12=1),1,0))))</f>
        <v/>
      </c>
      <c r="L12" s="7"/>
    </row>
    <row r="13" customFormat="false" ht="15" hidden="false" customHeight="false" outlineLevel="0" collapsed="false">
      <c r="A13" s="7" t="n">
        <v>9</v>
      </c>
      <c r="B13" s="42"/>
      <c r="C13" s="42"/>
      <c r="D13" s="42"/>
      <c r="E13" s="42"/>
      <c r="F13" s="42"/>
      <c r="G13" s="42"/>
      <c r="H13" s="42"/>
      <c r="I13" s="42"/>
      <c r="J13" s="42"/>
      <c r="K13" s="42" t="str">
        <f aca="false">IF(D13="","",IF(D13="擴散",IF(E13&gt;=1,1,0),IF(COUNT(E13:J13)&lt;6,"",IF(AND(E13&gt;=3,F13&gt;=1,G13&gt;=2,H13&gt;=1,I13=1,J13=1),1,0))))</f>
        <v/>
      </c>
      <c r="L13" s="7"/>
    </row>
    <row r="14" customFormat="false" ht="15" hidden="false" customHeight="false" outlineLevel="0" collapsed="false">
      <c r="A14" s="7" t="n">
        <v>10</v>
      </c>
      <c r="B14" s="42"/>
      <c r="C14" s="42"/>
      <c r="D14" s="42"/>
      <c r="E14" s="42"/>
      <c r="F14" s="42"/>
      <c r="G14" s="42"/>
      <c r="H14" s="42"/>
      <c r="I14" s="42"/>
      <c r="J14" s="42"/>
      <c r="K14" s="42" t="str">
        <f aca="false">IF(D14="","",IF(D14="擴散",IF(E14&gt;=1,1,0),IF(COUNT(E14:J14)&lt;6,"",IF(AND(E14&gt;=3,F14&gt;=1,G14&gt;=2,H14&gt;=1,I14=1,J14=1),1,0))))</f>
        <v/>
      </c>
      <c r="L14" s="7"/>
    </row>
    <row r="16" customFormat="false" ht="15" hidden="false" customHeight="false" outlineLevel="0" collapsed="false">
      <c r="C16" s="20" t="s">
        <v>503</v>
      </c>
      <c r="D16" s="43" t="n">
        <f aca="false">COUNTA(B6:B14)</f>
        <v>0</v>
      </c>
    </row>
    <row r="17" customFormat="false" ht="15" hidden="false" customHeight="false" outlineLevel="0" collapsed="false">
      <c r="C17" s="20" t="s">
        <v>504</v>
      </c>
      <c r="D17" s="43" t="n">
        <f aca="false">COUNTIF(D6:D14,"核心")</f>
        <v>0</v>
      </c>
    </row>
    <row r="18" customFormat="false" ht="15" hidden="false" customHeight="false" outlineLevel="0" collapsed="false">
      <c r="C18" s="20" t="s">
        <v>505</v>
      </c>
      <c r="D18" s="43" t="n">
        <f aca="false">SUMIFS(K6:K14,D6:D14,"核心")</f>
        <v>0</v>
      </c>
    </row>
    <row r="19" customFormat="false" ht="15" hidden="false" customHeight="false" outlineLevel="0" collapsed="false">
      <c r="C19" s="20" t="s">
        <v>506</v>
      </c>
      <c r="D19" s="44" t="n">
        <f aca="false">IFERROR(SUMIFS(K6:K14,D6:D14,"擴散")/COUNTIF(D6:D14,"擴散"),0)</f>
        <v>0</v>
      </c>
    </row>
    <row r="20" customFormat="false" ht="17.15" hidden="false" customHeight="false" outlineLevel="0" collapsed="false">
      <c r="C20" s="20" t="s">
        <v>507</v>
      </c>
      <c r="D20" s="43" t="str">
        <f aca="false">IF(D17=0,"未填",IF(D18=D17,"核心通過","核心未過：安排免費補訓後重驗"))</f>
        <v>未填</v>
      </c>
    </row>
    <row r="22" customFormat="false" ht="15" hidden="false" customHeight="false" outlineLevel="0" collapsed="false">
      <c r="A22" s="24" t="s">
        <v>508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8"/>
    <col collapsed="false" customWidth="true" hidden="false" outlineLevel="0" max="3" min="3" style="0" width="22"/>
    <col collapsed="false" customWidth="true" hidden="false" outlineLevel="0" max="4" min="4" style="0" width="12"/>
    <col collapsed="false" customWidth="true" hidden="false" outlineLevel="0" max="5" min="5" style="0" width="26"/>
    <col collapsed="false" customWidth="true" hidden="false" outlineLevel="0" max="6" min="6" style="0" width="38"/>
    <col collapsed="false" customWidth="true" hidden="false" outlineLevel="0" max="7" min="7" style="0" width="40"/>
  </cols>
  <sheetData>
    <row r="1" customFormat="false" ht="20.1" hidden="false" customHeight="false" outlineLevel="0" collapsed="false">
      <c r="A1" s="27" t="s">
        <v>509</v>
      </c>
    </row>
    <row r="2" customFormat="false" ht="15" hidden="false" customHeight="false" outlineLevel="0" collapsed="false">
      <c r="A2" s="2" t="s">
        <v>510</v>
      </c>
    </row>
    <row r="4" customFormat="false" ht="15" hidden="false" customHeight="false" outlineLevel="0" collapsed="false">
      <c r="A4" s="3" t="s">
        <v>511</v>
      </c>
      <c r="B4" s="3" t="s">
        <v>512</v>
      </c>
      <c r="C4" s="3" t="s">
        <v>12</v>
      </c>
      <c r="D4" s="3" t="s">
        <v>513</v>
      </c>
      <c r="E4" s="3" t="s">
        <v>514</v>
      </c>
      <c r="F4" s="3" t="s">
        <v>515</v>
      </c>
      <c r="G4" s="3" t="s">
        <v>516</v>
      </c>
    </row>
    <row r="5" customFormat="false" ht="31.5" hidden="false" customHeight="true" outlineLevel="0" collapsed="false">
      <c r="A5" s="8" t="s">
        <v>517</v>
      </c>
      <c r="B5" s="7" t="s">
        <v>518</v>
      </c>
      <c r="C5" s="10" t="s">
        <v>519</v>
      </c>
      <c r="D5" s="9"/>
      <c r="E5" s="7" t="s">
        <v>520</v>
      </c>
      <c r="F5" s="7" t="s">
        <v>521</v>
      </c>
      <c r="G5" s="7" t="s">
        <v>522</v>
      </c>
    </row>
    <row r="6" customFormat="false" ht="31.5" hidden="false" customHeight="true" outlineLevel="0" collapsed="false">
      <c r="A6" s="8" t="s">
        <v>517</v>
      </c>
      <c r="B6" s="7" t="s">
        <v>523</v>
      </c>
      <c r="C6" s="10" t="s">
        <v>524</v>
      </c>
      <c r="D6" s="9"/>
      <c r="E6" s="7" t="s">
        <v>525</v>
      </c>
      <c r="F6" s="7" t="s">
        <v>526</v>
      </c>
      <c r="G6" s="7" t="s">
        <v>527</v>
      </c>
    </row>
    <row r="7" customFormat="false" ht="31.5" hidden="false" customHeight="true" outlineLevel="0" collapsed="false">
      <c r="A7" s="8" t="s">
        <v>517</v>
      </c>
      <c r="B7" s="7" t="s">
        <v>528</v>
      </c>
      <c r="C7" s="10" t="s">
        <v>529</v>
      </c>
      <c r="D7" s="9"/>
      <c r="E7" s="7" t="s">
        <v>530</v>
      </c>
      <c r="F7" s="7" t="s">
        <v>531</v>
      </c>
      <c r="G7" s="7" t="s">
        <v>532</v>
      </c>
    </row>
    <row r="8" customFormat="false" ht="31.5" hidden="false" customHeight="true" outlineLevel="0" collapsed="false">
      <c r="A8" s="8" t="s">
        <v>517</v>
      </c>
      <c r="B8" s="5" t="s">
        <v>533</v>
      </c>
      <c r="C8" s="10" t="s">
        <v>23</v>
      </c>
      <c r="D8" s="9"/>
      <c r="E8" s="7" t="s">
        <v>60</v>
      </c>
      <c r="F8" s="5" t="s">
        <v>534</v>
      </c>
      <c r="G8" s="7" t="s">
        <v>535</v>
      </c>
    </row>
    <row r="9" customFormat="false" ht="31.5" hidden="false" customHeight="true" outlineLevel="0" collapsed="false">
      <c r="A9" s="8" t="s">
        <v>517</v>
      </c>
      <c r="B9" s="5" t="s">
        <v>536</v>
      </c>
      <c r="C9" s="10" t="s">
        <v>537</v>
      </c>
      <c r="D9" s="9"/>
      <c r="E9" s="7" t="s">
        <v>538</v>
      </c>
      <c r="F9" s="5" t="s">
        <v>539</v>
      </c>
      <c r="G9" s="7" t="s">
        <v>540</v>
      </c>
    </row>
    <row r="10" customFormat="false" ht="31.5" hidden="false" customHeight="true" outlineLevel="0" collapsed="false">
      <c r="A10" s="8" t="s">
        <v>541</v>
      </c>
      <c r="B10" s="7" t="s">
        <v>542</v>
      </c>
      <c r="C10" s="7" t="s">
        <v>543</v>
      </c>
      <c r="D10" s="9"/>
      <c r="E10" s="7" t="s">
        <v>544</v>
      </c>
      <c r="F10" s="7" t="s">
        <v>545</v>
      </c>
      <c r="G10" s="7" t="s">
        <v>546</v>
      </c>
    </row>
    <row r="11" customFormat="false" ht="31.5" hidden="false" customHeight="true" outlineLevel="0" collapsed="false">
      <c r="A11" s="8" t="s">
        <v>541</v>
      </c>
      <c r="B11" s="7" t="s">
        <v>547</v>
      </c>
      <c r="C11" s="10" t="s">
        <v>548</v>
      </c>
      <c r="D11" s="9"/>
      <c r="E11" s="7" t="s">
        <v>549</v>
      </c>
      <c r="F11" s="7" t="s">
        <v>550</v>
      </c>
      <c r="G11" s="7" t="s">
        <v>551</v>
      </c>
    </row>
    <row r="12" customFormat="false" ht="31.5" hidden="false" customHeight="true" outlineLevel="0" collapsed="false">
      <c r="A12" s="8" t="s">
        <v>541</v>
      </c>
      <c r="B12" s="5" t="s">
        <v>552</v>
      </c>
      <c r="C12" s="7" t="s">
        <v>553</v>
      </c>
      <c r="D12" s="9"/>
      <c r="E12" s="7" t="s">
        <v>554</v>
      </c>
      <c r="F12" s="5" t="s">
        <v>555</v>
      </c>
      <c r="G12" s="7" t="s">
        <v>556</v>
      </c>
    </row>
    <row r="13" customFormat="false" ht="31.5" hidden="false" customHeight="true" outlineLevel="0" collapsed="false">
      <c r="A13" s="8" t="s">
        <v>557</v>
      </c>
      <c r="B13" s="7" t="s">
        <v>558</v>
      </c>
      <c r="C13" s="10" t="s">
        <v>519</v>
      </c>
      <c r="D13" s="9"/>
      <c r="E13" s="7" t="s">
        <v>520</v>
      </c>
      <c r="F13" s="7" t="s">
        <v>559</v>
      </c>
      <c r="G13" s="7" t="s">
        <v>560</v>
      </c>
    </row>
    <row r="14" customFormat="false" ht="31.5" hidden="false" customHeight="true" outlineLevel="0" collapsed="false">
      <c r="A14" s="8" t="s">
        <v>557</v>
      </c>
      <c r="B14" s="7" t="s">
        <v>561</v>
      </c>
      <c r="C14" s="7" t="s">
        <v>562</v>
      </c>
      <c r="D14" s="9"/>
      <c r="E14" s="7" t="s">
        <v>563</v>
      </c>
      <c r="F14" s="7" t="s">
        <v>564</v>
      </c>
      <c r="G14" s="7" t="s">
        <v>565</v>
      </c>
    </row>
    <row r="15" customFormat="false" ht="31.5" hidden="false" customHeight="true" outlineLevel="0" collapsed="false">
      <c r="A15" s="8" t="s">
        <v>557</v>
      </c>
      <c r="B15" s="5" t="s">
        <v>566</v>
      </c>
      <c r="C15" s="10" t="s">
        <v>567</v>
      </c>
      <c r="D15" s="9"/>
      <c r="E15" s="7" t="s">
        <v>568</v>
      </c>
      <c r="F15" s="5" t="s">
        <v>569</v>
      </c>
      <c r="G15" s="7" t="s">
        <v>570</v>
      </c>
    </row>
    <row r="16" customFormat="false" ht="31.5" hidden="false" customHeight="true" outlineLevel="0" collapsed="false">
      <c r="A16" s="8" t="s">
        <v>557</v>
      </c>
      <c r="B16" s="7" t="s">
        <v>571</v>
      </c>
      <c r="C16" s="7" t="s">
        <v>572</v>
      </c>
      <c r="D16" s="9"/>
      <c r="E16" s="7" t="s">
        <v>573</v>
      </c>
      <c r="F16" s="7" t="s">
        <v>574</v>
      </c>
      <c r="G16" s="7" t="s">
        <v>575</v>
      </c>
    </row>
    <row r="18" customFormat="false" ht="15" hidden="false" customHeight="false" outlineLevel="0" collapsed="false">
      <c r="A18" s="24" t="s">
        <v>576</v>
      </c>
    </row>
    <row r="19" customFormat="false" ht="15" hidden="false" customHeight="false" outlineLevel="0" collapsed="false">
      <c r="A19" s="25" t="s">
        <v>577</v>
      </c>
    </row>
    <row r="20" customFormat="false" ht="15" hidden="false" customHeight="false" outlineLevel="0" collapsed="false">
      <c r="A20" s="25" t="s">
        <v>578</v>
      </c>
    </row>
    <row r="21" customFormat="false" ht="15" hidden="false" customHeight="false" outlineLevel="0" collapsed="false">
      <c r="A21" s="25" t="s">
        <v>579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46"/>
    <col collapsed="false" customWidth="true" hidden="false" outlineLevel="0" max="4" min="4" style="0" width="34"/>
    <col collapsed="false" customWidth="true" hidden="false" outlineLevel="0" max="5" min="5" style="0" width="11"/>
    <col collapsed="false" customWidth="true" hidden="false" outlineLevel="0" max="6" min="6" style="0" width="40"/>
  </cols>
  <sheetData>
    <row r="1" customFormat="false" ht="20.1" hidden="false" customHeight="false" outlineLevel="0" collapsed="false">
      <c r="A1" s="27" t="s">
        <v>580</v>
      </c>
    </row>
    <row r="2" customFormat="false" ht="15" hidden="false" customHeight="false" outlineLevel="0" collapsed="false">
      <c r="A2" s="2" t="s">
        <v>581</v>
      </c>
    </row>
    <row r="4" customFormat="false" ht="26.85" hidden="false" customHeight="false" outlineLevel="0" collapsed="false">
      <c r="A4" s="40" t="s">
        <v>488</v>
      </c>
      <c r="B4" s="3" t="s">
        <v>582</v>
      </c>
      <c r="C4" s="3" t="s">
        <v>583</v>
      </c>
      <c r="D4" s="3" t="s">
        <v>584</v>
      </c>
      <c r="E4" s="3" t="s">
        <v>585</v>
      </c>
      <c r="F4" s="3" t="s">
        <v>240</v>
      </c>
    </row>
    <row r="5" customFormat="false" ht="27.75" hidden="false" customHeight="true" outlineLevel="0" collapsed="false">
      <c r="A5" s="7" t="n">
        <v>1</v>
      </c>
      <c r="B5" s="7" t="s">
        <v>586</v>
      </c>
      <c r="C5" s="7" t="s">
        <v>587</v>
      </c>
      <c r="D5" s="9"/>
      <c r="E5" s="42"/>
      <c r="F5" s="7" t="s">
        <v>588</v>
      </c>
    </row>
    <row r="6" customFormat="false" ht="27.75" hidden="false" customHeight="true" outlineLevel="0" collapsed="false">
      <c r="A6" s="7" t="n">
        <v>2</v>
      </c>
      <c r="B6" s="7" t="s">
        <v>589</v>
      </c>
      <c r="C6" s="7" t="s">
        <v>590</v>
      </c>
      <c r="D6" s="9"/>
      <c r="E6" s="42"/>
      <c r="F6" s="7" t="s">
        <v>591</v>
      </c>
    </row>
    <row r="7" customFormat="false" ht="27.75" hidden="false" customHeight="true" outlineLevel="0" collapsed="false">
      <c r="A7" s="7" t="n">
        <v>3</v>
      </c>
      <c r="B7" s="10" t="s">
        <v>592</v>
      </c>
      <c r="C7" s="7" t="s">
        <v>593</v>
      </c>
      <c r="D7" s="9"/>
      <c r="E7" s="42"/>
      <c r="F7" s="7" t="s">
        <v>594</v>
      </c>
    </row>
    <row r="8" customFormat="false" ht="27.75" hidden="false" customHeight="true" outlineLevel="0" collapsed="false">
      <c r="A8" s="7" t="n">
        <v>4</v>
      </c>
      <c r="B8" s="7" t="s">
        <v>595</v>
      </c>
      <c r="C8" s="10" t="s">
        <v>596</v>
      </c>
      <c r="D8" s="9"/>
      <c r="E8" s="42"/>
      <c r="F8" s="7" t="s">
        <v>597</v>
      </c>
    </row>
    <row r="9" customFormat="false" ht="27.75" hidden="false" customHeight="true" outlineLevel="0" collapsed="false">
      <c r="A9" s="7" t="n">
        <v>5</v>
      </c>
      <c r="B9" s="7" t="s">
        <v>598</v>
      </c>
      <c r="C9" s="7" t="s">
        <v>599</v>
      </c>
      <c r="D9" s="9"/>
      <c r="E9" s="42"/>
      <c r="F9" s="7" t="s">
        <v>600</v>
      </c>
    </row>
    <row r="10" customFormat="false" ht="27.75" hidden="false" customHeight="true" outlineLevel="0" collapsed="false">
      <c r="A10" s="7" t="n">
        <v>6</v>
      </c>
      <c r="B10" s="7" t="s">
        <v>601</v>
      </c>
      <c r="C10" s="7" t="s">
        <v>602</v>
      </c>
      <c r="D10" s="9"/>
      <c r="E10" s="42"/>
      <c r="F10" s="7" t="s">
        <v>603</v>
      </c>
    </row>
    <row r="11" customFormat="false" ht="27.75" hidden="false" customHeight="true" outlineLevel="0" collapsed="false">
      <c r="A11" s="7" t="n">
        <v>7</v>
      </c>
      <c r="B11" s="7" t="s">
        <v>604</v>
      </c>
      <c r="C11" s="7" t="s">
        <v>605</v>
      </c>
      <c r="D11" s="9"/>
      <c r="E11" s="42"/>
      <c r="F11" s="7" t="s">
        <v>606</v>
      </c>
    </row>
    <row r="12" customFormat="false" ht="27.75" hidden="false" customHeight="true" outlineLevel="0" collapsed="false">
      <c r="A12" s="7" t="n">
        <v>8</v>
      </c>
      <c r="B12" s="7" t="s">
        <v>607</v>
      </c>
      <c r="C12" s="7" t="s">
        <v>608</v>
      </c>
      <c r="D12" s="9"/>
      <c r="E12" s="42"/>
      <c r="F12" s="7" t="s">
        <v>609</v>
      </c>
    </row>
    <row r="13" customFormat="false" ht="27.75" hidden="false" customHeight="true" outlineLevel="0" collapsed="false">
      <c r="A13" s="7" t="n">
        <v>9</v>
      </c>
      <c r="B13" s="7" t="s">
        <v>610</v>
      </c>
      <c r="C13" s="7" t="s">
        <v>611</v>
      </c>
      <c r="D13" s="9"/>
      <c r="E13" s="42"/>
      <c r="F13" s="7" t="s">
        <v>612</v>
      </c>
    </row>
    <row r="14" customFormat="false" ht="27.75" hidden="false" customHeight="true" outlineLevel="0" collapsed="false">
      <c r="A14" s="7" t="n">
        <v>10</v>
      </c>
      <c r="B14" s="7" t="s">
        <v>613</v>
      </c>
      <c r="C14" s="7" t="s">
        <v>614</v>
      </c>
      <c r="D14" s="9"/>
      <c r="E14" s="42"/>
      <c r="F14" s="7" t="s">
        <v>615</v>
      </c>
    </row>
    <row r="15" customFormat="false" ht="27.75" hidden="false" customHeight="true" outlineLevel="0" collapsed="false">
      <c r="A15" s="7" t="n">
        <v>11</v>
      </c>
      <c r="B15" s="7" t="s">
        <v>616</v>
      </c>
      <c r="C15" s="7" t="s">
        <v>617</v>
      </c>
      <c r="D15" s="9"/>
      <c r="E15" s="42"/>
      <c r="F15" s="7" t="s">
        <v>618</v>
      </c>
    </row>
    <row r="16" customFormat="false" ht="27.75" hidden="false" customHeight="true" outlineLevel="0" collapsed="false">
      <c r="A16" s="7" t="n">
        <v>12</v>
      </c>
      <c r="B16" s="5" t="s">
        <v>619</v>
      </c>
      <c r="C16" s="5" t="s">
        <v>620</v>
      </c>
      <c r="D16" s="9"/>
      <c r="E16" s="42"/>
      <c r="F16" s="7" t="s">
        <v>621</v>
      </c>
    </row>
    <row r="17" customFormat="false" ht="27.75" hidden="false" customHeight="true" outlineLevel="0" collapsed="false">
      <c r="A17" s="7" t="n">
        <v>13</v>
      </c>
      <c r="B17" s="7" t="s">
        <v>622</v>
      </c>
      <c r="C17" s="7" t="s">
        <v>623</v>
      </c>
      <c r="D17" s="9"/>
      <c r="E17" s="42"/>
      <c r="F17" s="7" t="s">
        <v>624</v>
      </c>
    </row>
    <row r="18" customFormat="false" ht="27.75" hidden="false" customHeight="true" outlineLevel="0" collapsed="false">
      <c r="A18" s="7" t="n">
        <v>14</v>
      </c>
      <c r="B18" s="7" t="s">
        <v>625</v>
      </c>
      <c r="C18" s="7" t="s">
        <v>626</v>
      </c>
      <c r="D18" s="9"/>
      <c r="E18" s="42"/>
      <c r="F18" s="7" t="s">
        <v>627</v>
      </c>
    </row>
    <row r="20" customFormat="false" ht="15" hidden="false" customHeight="false" outlineLevel="0" collapsed="false">
      <c r="B20" s="24" t="s">
        <v>628</v>
      </c>
      <c r="D20" s="43" t="n">
        <f aca="false">SUM(E5:E18)</f>
        <v>0</v>
      </c>
    </row>
    <row r="21" customFormat="false" ht="17.15" hidden="false" customHeight="false" outlineLevel="0" collapsed="false">
      <c r="B21" s="24" t="s">
        <v>629</v>
      </c>
      <c r="D21" s="43" t="str">
        <f aca="false">IF(D20=14,"是（交付成立要件之一達成）","否：尚有未確認項目")</f>
        <v>否：尚有未確認項目</v>
      </c>
    </row>
    <row r="23" customFormat="false" ht="15" hidden="false" customHeight="false" outlineLevel="0" collapsed="false">
      <c r="A23" s="45" t="s">
        <v>630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2"/>
    <col collapsed="false" customWidth="true" hidden="false" outlineLevel="0" max="3" min="3" style="0" width="30"/>
    <col collapsed="false" customWidth="true" hidden="false" outlineLevel="0" max="4" min="4" style="0" width="14"/>
    <col collapsed="false" customWidth="true" hidden="false" outlineLevel="0" max="5" min="5" style="0" width="13"/>
    <col collapsed="false" customWidth="true" hidden="false" outlineLevel="0" max="6" min="6" style="0" width="15"/>
    <col collapsed="false" customWidth="true" hidden="false" outlineLevel="0" max="7" min="7" style="0" width="13"/>
    <col collapsed="false" customWidth="true" hidden="false" outlineLevel="0" max="8" min="8" style="0" width="22"/>
    <col collapsed="false" customWidth="true" hidden="false" outlineLevel="0" max="9" min="9" style="0" width="14"/>
    <col collapsed="false" customWidth="true" hidden="false" outlineLevel="0" max="10" min="10" style="0" width="28"/>
  </cols>
  <sheetData>
    <row r="1" customFormat="false" ht="20.1" hidden="false" customHeight="false" outlineLevel="0" collapsed="false">
      <c r="A1" s="27" t="s">
        <v>631</v>
      </c>
    </row>
    <row r="2" customFormat="false" ht="15" hidden="false" customHeight="false" outlineLevel="0" collapsed="false">
      <c r="A2" s="2" t="s">
        <v>632</v>
      </c>
    </row>
    <row r="3" customFormat="false" ht="26.85" hidden="false" customHeight="false" outlineLevel="0" collapsed="false">
      <c r="A3" s="3" t="s">
        <v>489</v>
      </c>
      <c r="B3" s="3" t="s">
        <v>232</v>
      </c>
      <c r="C3" s="3" t="s">
        <v>233</v>
      </c>
      <c r="D3" s="3" t="s">
        <v>633</v>
      </c>
      <c r="E3" s="3" t="s">
        <v>634</v>
      </c>
      <c r="F3" s="3" t="s">
        <v>635</v>
      </c>
      <c r="G3" s="3" t="s">
        <v>636</v>
      </c>
      <c r="H3" s="3" t="s">
        <v>637</v>
      </c>
      <c r="I3" s="3" t="s">
        <v>638</v>
      </c>
      <c r="J3" s="3" t="s">
        <v>15</v>
      </c>
    </row>
    <row r="4" customFormat="false" ht="15" hidden="false" customHeight="false" outlineLevel="0" collapsed="false">
      <c r="A4" s="46" t="s">
        <v>500</v>
      </c>
      <c r="B4" s="9" t="s">
        <v>351</v>
      </c>
      <c r="C4" s="47" t="s">
        <v>639</v>
      </c>
      <c r="D4" s="47" t="s">
        <v>640</v>
      </c>
      <c r="E4" s="47" t="n">
        <v>1</v>
      </c>
      <c r="F4" s="47" t="n">
        <v>1</v>
      </c>
      <c r="G4" s="47" t="s">
        <v>641</v>
      </c>
      <c r="H4" s="47" t="s">
        <v>642</v>
      </c>
      <c r="I4" s="47" t="n">
        <v>1</v>
      </c>
      <c r="J4" s="9" t="s">
        <v>643</v>
      </c>
    </row>
    <row r="5" customFormat="false" ht="15" hidden="false" customHeight="false" outlineLevel="0" collapsed="false">
      <c r="A5" s="47"/>
      <c r="B5" s="47"/>
      <c r="C5" s="47"/>
      <c r="D5" s="47"/>
      <c r="E5" s="47"/>
      <c r="F5" s="47"/>
      <c r="G5" s="47"/>
      <c r="H5" s="47"/>
      <c r="I5" s="47"/>
      <c r="J5" s="47"/>
    </row>
    <row r="6" customFormat="false" ht="15" hidden="false" customHeight="false" outlineLevel="0" collapsed="false">
      <c r="A6" s="47"/>
      <c r="B6" s="47"/>
      <c r="C6" s="47"/>
      <c r="D6" s="47"/>
      <c r="E6" s="47"/>
      <c r="F6" s="47"/>
      <c r="G6" s="47"/>
      <c r="H6" s="47"/>
      <c r="I6" s="47"/>
      <c r="J6" s="47"/>
    </row>
    <row r="7" customFormat="false" ht="15" hidden="false" customHeight="false" outlineLevel="0" collapsed="false">
      <c r="A7" s="47"/>
      <c r="B7" s="47"/>
      <c r="C7" s="47"/>
      <c r="D7" s="47"/>
      <c r="E7" s="47"/>
      <c r="F7" s="47"/>
      <c r="G7" s="47"/>
      <c r="H7" s="47"/>
      <c r="I7" s="47"/>
      <c r="J7" s="47"/>
    </row>
    <row r="8" customFormat="false" ht="15" hidden="false" customHeight="false" outlineLevel="0" collapsed="false">
      <c r="A8" s="47"/>
      <c r="B8" s="47"/>
      <c r="C8" s="47"/>
      <c r="D8" s="47"/>
      <c r="E8" s="47"/>
      <c r="F8" s="47"/>
      <c r="G8" s="47"/>
      <c r="H8" s="47"/>
      <c r="I8" s="47"/>
      <c r="J8" s="47"/>
    </row>
    <row r="9" customFormat="false" ht="15" hidden="false" customHeight="false" outlineLevel="0" collapsed="false">
      <c r="A9" s="47"/>
      <c r="B9" s="47"/>
      <c r="C9" s="47"/>
      <c r="D9" s="47"/>
      <c r="E9" s="47"/>
      <c r="F9" s="47"/>
      <c r="G9" s="47"/>
      <c r="H9" s="47"/>
      <c r="I9" s="47"/>
      <c r="J9" s="47"/>
    </row>
    <row r="10" customFormat="false" ht="15" hidden="false" customHeight="false" outlineLevel="0" collapsed="false">
      <c r="A10" s="47"/>
      <c r="B10" s="47"/>
      <c r="C10" s="47"/>
      <c r="D10" s="47"/>
      <c r="E10" s="47"/>
      <c r="F10" s="47"/>
      <c r="G10" s="47"/>
      <c r="H10" s="47"/>
      <c r="I10" s="47"/>
      <c r="J10" s="47"/>
    </row>
    <row r="11" customFormat="false" ht="15" hidden="false" customHeight="false" outlineLevel="0" collapsed="false">
      <c r="A11" s="47"/>
      <c r="B11" s="47"/>
      <c r="C11" s="47"/>
      <c r="D11" s="47"/>
      <c r="E11" s="47"/>
      <c r="F11" s="47"/>
      <c r="G11" s="47"/>
      <c r="H11" s="47"/>
      <c r="I11" s="47"/>
      <c r="J11" s="47"/>
    </row>
    <row r="12" customFormat="false" ht="15" hidden="false" customHeight="false" outlineLevel="0" collapsed="false">
      <c r="A12" s="47"/>
      <c r="B12" s="47"/>
      <c r="C12" s="47"/>
      <c r="D12" s="47"/>
      <c r="E12" s="47"/>
      <c r="F12" s="47"/>
      <c r="G12" s="47"/>
      <c r="H12" s="47"/>
      <c r="I12" s="47"/>
      <c r="J12" s="47"/>
    </row>
    <row r="13" customFormat="false" ht="15" hidden="false" customHeight="false" outlineLevel="0" collapsed="false">
      <c r="A13" s="47"/>
      <c r="B13" s="47"/>
      <c r="C13" s="47"/>
      <c r="D13" s="47"/>
      <c r="E13" s="47"/>
      <c r="F13" s="47"/>
      <c r="G13" s="47"/>
      <c r="H13" s="47"/>
      <c r="I13" s="47"/>
      <c r="J13" s="47"/>
    </row>
    <row r="14" customFormat="false" ht="15" hidden="false" customHeight="false" outlineLevel="0" collapsed="false">
      <c r="A14" s="47"/>
      <c r="B14" s="47"/>
      <c r="C14" s="47"/>
      <c r="D14" s="47"/>
      <c r="E14" s="47"/>
      <c r="F14" s="47"/>
      <c r="G14" s="47"/>
      <c r="H14" s="47"/>
      <c r="I14" s="47"/>
      <c r="J14" s="47"/>
    </row>
    <row r="15" customFormat="false" ht="15" hidden="false" customHeight="false" outlineLevel="0" collapsed="false">
      <c r="A15" s="47"/>
      <c r="B15" s="47"/>
      <c r="C15" s="47"/>
      <c r="D15" s="47"/>
      <c r="E15" s="47"/>
      <c r="F15" s="47"/>
      <c r="G15" s="47"/>
      <c r="H15" s="47"/>
      <c r="I15" s="47"/>
      <c r="J15" s="47"/>
    </row>
    <row r="16" customFormat="false" ht="15" hidden="false" customHeight="false" outlineLevel="0" collapsed="false">
      <c r="A16" s="47"/>
      <c r="B16" s="47"/>
      <c r="C16" s="47"/>
      <c r="D16" s="47"/>
      <c r="E16" s="47"/>
      <c r="F16" s="47"/>
      <c r="G16" s="47"/>
      <c r="H16" s="47"/>
      <c r="I16" s="47"/>
      <c r="J16" s="47"/>
    </row>
    <row r="17" customFormat="false" ht="15" hidden="false" customHeight="false" outlineLevel="0" collapsed="false">
      <c r="A17" s="47"/>
      <c r="B17" s="47"/>
      <c r="C17" s="47"/>
      <c r="D17" s="47"/>
      <c r="E17" s="47"/>
      <c r="F17" s="47"/>
      <c r="G17" s="47"/>
      <c r="H17" s="47"/>
      <c r="I17" s="47"/>
      <c r="J17" s="47"/>
    </row>
    <row r="18" customFormat="false" ht="15" hidden="false" customHeight="false" outlineLevel="0" collapsed="false">
      <c r="A18" s="47"/>
      <c r="B18" s="47"/>
      <c r="C18" s="47"/>
      <c r="D18" s="47"/>
      <c r="E18" s="47"/>
      <c r="F18" s="47"/>
      <c r="G18" s="47"/>
      <c r="H18" s="47"/>
      <c r="I18" s="47"/>
      <c r="J18" s="47"/>
    </row>
    <row r="19" customFormat="false" ht="15" hidden="false" customHeight="false" outlineLevel="0" collapsed="false">
      <c r="A19" s="47"/>
      <c r="B19" s="47"/>
      <c r="C19" s="47"/>
      <c r="D19" s="47"/>
      <c r="E19" s="47"/>
      <c r="F19" s="47"/>
      <c r="G19" s="47"/>
      <c r="H19" s="47"/>
      <c r="I19" s="47"/>
      <c r="J19" s="47"/>
    </row>
    <row r="20" customFormat="false" ht="15" hidden="false" customHeight="false" outlineLevel="0" collapsed="false">
      <c r="A20" s="47"/>
      <c r="B20" s="47"/>
      <c r="C20" s="47"/>
      <c r="D20" s="47"/>
      <c r="E20" s="47"/>
      <c r="F20" s="47"/>
      <c r="G20" s="47"/>
      <c r="H20" s="47"/>
      <c r="I20" s="47"/>
      <c r="J20" s="47"/>
    </row>
    <row r="21" customFormat="false" ht="15" hidden="false" customHeight="false" outlineLevel="0" collapsed="false">
      <c r="A21" s="47"/>
      <c r="B21" s="47"/>
      <c r="C21" s="47"/>
      <c r="D21" s="47"/>
      <c r="E21" s="47"/>
      <c r="F21" s="47"/>
      <c r="G21" s="47"/>
      <c r="H21" s="47"/>
      <c r="I21" s="47"/>
      <c r="J21" s="47"/>
    </row>
    <row r="22" customFormat="false" ht="15" hidden="false" customHeight="false" outlineLevel="0" collapsed="false">
      <c r="A22" s="47"/>
      <c r="B22" s="47"/>
      <c r="C22" s="47"/>
      <c r="D22" s="47"/>
      <c r="E22" s="47"/>
      <c r="F22" s="47"/>
      <c r="G22" s="47"/>
      <c r="H22" s="47"/>
      <c r="I22" s="47"/>
      <c r="J22" s="47"/>
    </row>
    <row r="23" customFormat="false" ht="15" hidden="false" customHeight="false" outlineLevel="0" collapsed="false">
      <c r="A23" s="47"/>
      <c r="B23" s="47"/>
      <c r="C23" s="47"/>
      <c r="D23" s="47"/>
      <c r="E23" s="47"/>
      <c r="F23" s="47"/>
      <c r="G23" s="47"/>
      <c r="H23" s="47"/>
      <c r="I23" s="47"/>
      <c r="J23" s="47"/>
    </row>
    <row r="24" customFormat="false" ht="15" hidden="false" customHeight="false" outlineLevel="0" collapsed="false">
      <c r="A24" s="47"/>
      <c r="B24" s="47"/>
      <c r="C24" s="47"/>
      <c r="D24" s="47"/>
      <c r="E24" s="47"/>
      <c r="F24" s="47"/>
      <c r="G24" s="47"/>
      <c r="H24" s="47"/>
      <c r="I24" s="47"/>
      <c r="J24" s="47"/>
    </row>
    <row r="25" customFormat="false" ht="15" hidden="false" customHeight="false" outlineLevel="0" collapsed="false">
      <c r="A25" s="47"/>
      <c r="B25" s="47"/>
      <c r="C25" s="47"/>
      <c r="D25" s="47"/>
      <c r="E25" s="47"/>
      <c r="F25" s="47"/>
      <c r="G25" s="47"/>
      <c r="H25" s="47"/>
      <c r="I25" s="47"/>
      <c r="J25" s="47"/>
    </row>
    <row r="26" customFormat="false" ht="15" hidden="false" customHeight="false" outlineLevel="0" collapsed="false">
      <c r="A26" s="47"/>
      <c r="B26" s="47"/>
      <c r="C26" s="47"/>
      <c r="D26" s="47"/>
      <c r="E26" s="47"/>
      <c r="F26" s="47"/>
      <c r="G26" s="47"/>
      <c r="H26" s="47"/>
      <c r="I26" s="47"/>
      <c r="J26" s="47"/>
    </row>
    <row r="27" customFormat="false" ht="15" hidden="false" customHeight="false" outlineLevel="0" collapsed="false">
      <c r="A27" s="47"/>
      <c r="B27" s="47"/>
      <c r="C27" s="47"/>
      <c r="D27" s="47"/>
      <c r="E27" s="47"/>
      <c r="F27" s="47"/>
      <c r="G27" s="47"/>
      <c r="H27" s="47"/>
      <c r="I27" s="47"/>
      <c r="J27" s="47"/>
    </row>
    <row r="28" customFormat="false" ht="15" hidden="false" customHeight="false" outlineLevel="0" collapsed="false">
      <c r="A28" s="47"/>
      <c r="B28" s="47"/>
      <c r="C28" s="47"/>
      <c r="D28" s="47"/>
      <c r="E28" s="47"/>
      <c r="F28" s="47"/>
      <c r="G28" s="47"/>
      <c r="H28" s="47"/>
      <c r="I28" s="47"/>
      <c r="J28" s="47"/>
    </row>
    <row r="29" customFormat="false" ht="15" hidden="false" customHeight="false" outlineLevel="0" collapsed="false">
      <c r="A29" s="47"/>
      <c r="B29" s="47"/>
      <c r="C29" s="47"/>
      <c r="D29" s="47"/>
      <c r="E29" s="47"/>
      <c r="F29" s="47"/>
      <c r="G29" s="47"/>
      <c r="H29" s="47"/>
      <c r="I29" s="47"/>
      <c r="J29" s="47"/>
    </row>
    <row r="30" customFormat="false" ht="15" hidden="false" customHeight="false" outlineLevel="0" collapsed="false">
      <c r="A30" s="47"/>
      <c r="B30" s="47"/>
      <c r="C30" s="47"/>
      <c r="D30" s="47"/>
      <c r="E30" s="47"/>
      <c r="F30" s="47"/>
      <c r="G30" s="47"/>
      <c r="H30" s="47"/>
      <c r="I30" s="47"/>
      <c r="J30" s="47"/>
    </row>
    <row r="31" customFormat="false" ht="15" hidden="false" customHeight="false" outlineLevel="0" collapsed="false">
      <c r="A31" s="47"/>
      <c r="B31" s="47"/>
      <c r="C31" s="47"/>
      <c r="D31" s="47"/>
      <c r="E31" s="47"/>
      <c r="F31" s="47"/>
      <c r="G31" s="47"/>
      <c r="H31" s="47"/>
      <c r="I31" s="47"/>
      <c r="J31" s="47"/>
    </row>
    <row r="32" customFormat="false" ht="15" hidden="false" customHeight="false" outlineLevel="0" collapsed="false">
      <c r="A32" s="47"/>
      <c r="B32" s="47"/>
      <c r="C32" s="47"/>
      <c r="D32" s="47"/>
      <c r="E32" s="47"/>
      <c r="F32" s="47"/>
      <c r="G32" s="47"/>
      <c r="H32" s="47"/>
      <c r="I32" s="47"/>
      <c r="J32" s="47"/>
    </row>
    <row r="33" customFormat="false" ht="15" hidden="false" customHeight="false" outlineLevel="0" collapsed="false">
      <c r="A33" s="47"/>
      <c r="B33" s="47"/>
      <c r="C33" s="47"/>
      <c r="D33" s="47"/>
      <c r="E33" s="47"/>
      <c r="F33" s="47"/>
      <c r="G33" s="47"/>
      <c r="H33" s="47"/>
      <c r="I33" s="47"/>
      <c r="J33" s="47"/>
    </row>
    <row r="34" customFormat="false" ht="15" hidden="false" customHeight="false" outlineLevel="0" collapsed="false">
      <c r="A34" s="47"/>
      <c r="B34" s="47"/>
      <c r="C34" s="47"/>
      <c r="D34" s="47"/>
      <c r="E34" s="47"/>
      <c r="F34" s="47"/>
      <c r="G34" s="47"/>
      <c r="H34" s="47"/>
      <c r="I34" s="47"/>
      <c r="J34" s="47"/>
    </row>
    <row r="35" customFormat="false" ht="15" hidden="false" customHeight="false" outlineLevel="0" collapsed="false">
      <c r="A35" s="47"/>
      <c r="B35" s="47"/>
      <c r="C35" s="47"/>
      <c r="D35" s="47"/>
      <c r="E35" s="47"/>
      <c r="F35" s="47"/>
      <c r="G35" s="47"/>
      <c r="H35" s="47"/>
      <c r="I35" s="47"/>
      <c r="J35" s="47"/>
    </row>
    <row r="36" customFormat="false" ht="15" hidden="false" customHeight="false" outlineLevel="0" collapsed="false">
      <c r="A36" s="47"/>
      <c r="B36" s="47"/>
      <c r="C36" s="47"/>
      <c r="D36" s="47"/>
      <c r="E36" s="47"/>
      <c r="F36" s="47"/>
      <c r="G36" s="47"/>
      <c r="H36" s="47"/>
      <c r="I36" s="47"/>
      <c r="J36" s="47"/>
    </row>
    <row r="37" customFormat="false" ht="15" hidden="false" customHeight="false" outlineLevel="0" collapsed="false">
      <c r="A37" s="47"/>
      <c r="B37" s="47"/>
      <c r="C37" s="47"/>
      <c r="D37" s="47"/>
      <c r="E37" s="47"/>
      <c r="F37" s="47"/>
      <c r="G37" s="47"/>
      <c r="H37" s="47"/>
      <c r="I37" s="47"/>
      <c r="J37" s="47"/>
    </row>
    <row r="38" customFormat="false" ht="15" hidden="false" customHeight="false" outlineLevel="0" collapsed="false">
      <c r="A38" s="47"/>
      <c r="B38" s="47"/>
      <c r="C38" s="47"/>
      <c r="D38" s="47"/>
      <c r="E38" s="47"/>
      <c r="F38" s="47"/>
      <c r="G38" s="47"/>
      <c r="H38" s="47"/>
      <c r="I38" s="47"/>
      <c r="J38" s="47"/>
    </row>
    <row r="39" customFormat="false" ht="15" hidden="false" customHeight="false" outlineLevel="0" collapsed="false">
      <c r="A39" s="47"/>
      <c r="B39" s="47"/>
      <c r="C39" s="47"/>
      <c r="D39" s="47"/>
      <c r="E39" s="47"/>
      <c r="F39" s="47"/>
      <c r="G39" s="47"/>
      <c r="H39" s="47"/>
      <c r="I39" s="47"/>
      <c r="J39" s="47"/>
    </row>
    <row r="40" customFormat="false" ht="15" hidden="false" customHeight="false" outlineLevel="0" collapsed="false">
      <c r="A40" s="47"/>
      <c r="B40" s="47"/>
      <c r="C40" s="47"/>
      <c r="D40" s="47"/>
      <c r="E40" s="47"/>
      <c r="F40" s="47"/>
      <c r="G40" s="47"/>
      <c r="H40" s="47"/>
      <c r="I40" s="47"/>
      <c r="J40" s="47"/>
    </row>
    <row r="41" customFormat="false" ht="15" hidden="false" customHeight="false" outlineLevel="0" collapsed="false">
      <c r="A41" s="47"/>
      <c r="B41" s="47"/>
      <c r="C41" s="47"/>
      <c r="D41" s="47"/>
      <c r="E41" s="47"/>
      <c r="F41" s="47"/>
      <c r="G41" s="47"/>
      <c r="H41" s="47"/>
      <c r="I41" s="47"/>
      <c r="J41" s="47"/>
    </row>
    <row r="42" customFormat="false" ht="15" hidden="false" customHeight="false" outlineLevel="0" collapsed="false">
      <c r="A42" s="47"/>
      <c r="B42" s="47"/>
      <c r="C42" s="47"/>
      <c r="D42" s="47"/>
      <c r="E42" s="47"/>
      <c r="F42" s="47"/>
      <c r="G42" s="47"/>
      <c r="H42" s="47"/>
      <c r="I42" s="47"/>
      <c r="J42" s="47"/>
    </row>
    <row r="43" customFormat="false" ht="15" hidden="false" customHeight="false" outlineLevel="0" collapsed="false">
      <c r="A43" s="47"/>
      <c r="B43" s="47"/>
      <c r="C43" s="47"/>
      <c r="D43" s="47"/>
      <c r="E43" s="47"/>
      <c r="F43" s="47"/>
      <c r="G43" s="47"/>
      <c r="H43" s="47"/>
      <c r="I43" s="47"/>
      <c r="J43" s="47"/>
    </row>
    <row r="44" customFormat="false" ht="15" hidden="false" customHeight="false" outlineLevel="0" collapsed="false">
      <c r="A44" s="47"/>
      <c r="B44" s="47"/>
      <c r="C44" s="47"/>
      <c r="D44" s="47"/>
      <c r="E44" s="47"/>
      <c r="F44" s="47"/>
      <c r="G44" s="47"/>
      <c r="H44" s="47"/>
      <c r="I44" s="47"/>
      <c r="J44" s="4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6"/>
    <col collapsed="false" customWidth="true" hidden="false" outlineLevel="0" max="3" min="3" style="0" width="44"/>
    <col collapsed="false" customWidth="true" hidden="false" outlineLevel="0" max="4" min="4" style="0" width="42"/>
  </cols>
  <sheetData>
    <row r="1" customFormat="false" ht="20.1" hidden="false" customHeight="false" outlineLevel="0" collapsed="false">
      <c r="A1" s="39" t="s">
        <v>644</v>
      </c>
    </row>
    <row r="3" customFormat="false" ht="15" hidden="false" customHeight="false" outlineLevel="0" collapsed="false">
      <c r="A3" s="24" t="s">
        <v>645</v>
      </c>
    </row>
    <row r="4" customFormat="false" ht="15" hidden="false" customHeight="false" outlineLevel="0" collapsed="false">
      <c r="A4" s="40" t="s">
        <v>488</v>
      </c>
      <c r="B4" s="3" t="s">
        <v>646</v>
      </c>
      <c r="C4" s="40" t="s">
        <v>647</v>
      </c>
      <c r="D4" s="3" t="s">
        <v>648</v>
      </c>
    </row>
    <row r="5" customFormat="false" ht="29.85" hidden="false" customHeight="false" outlineLevel="0" collapsed="false">
      <c r="A5" s="7" t="n">
        <v>1</v>
      </c>
      <c r="B5" s="7" t="s">
        <v>649</v>
      </c>
      <c r="C5" s="7" t="s">
        <v>650</v>
      </c>
      <c r="D5" s="7" t="s">
        <v>651</v>
      </c>
    </row>
    <row r="6" customFormat="false" ht="29.85" hidden="false" customHeight="false" outlineLevel="0" collapsed="false">
      <c r="A6" s="7" t="n">
        <v>2</v>
      </c>
      <c r="B6" s="7" t="s">
        <v>652</v>
      </c>
      <c r="C6" s="7" t="s">
        <v>653</v>
      </c>
      <c r="D6" s="7" t="s">
        <v>654</v>
      </c>
    </row>
    <row r="7" customFormat="false" ht="29.85" hidden="false" customHeight="false" outlineLevel="0" collapsed="false">
      <c r="A7" s="7" t="n">
        <v>3</v>
      </c>
      <c r="B7" s="7" t="s">
        <v>655</v>
      </c>
      <c r="C7" s="7" t="s">
        <v>656</v>
      </c>
      <c r="D7" s="7" t="s">
        <v>657</v>
      </c>
    </row>
    <row r="8" customFormat="false" ht="29.85" hidden="false" customHeight="false" outlineLevel="0" collapsed="false">
      <c r="A8" s="7" t="n">
        <v>4</v>
      </c>
      <c r="B8" s="7" t="s">
        <v>658</v>
      </c>
      <c r="C8" s="10" t="s">
        <v>659</v>
      </c>
      <c r="D8" s="7" t="s">
        <v>660</v>
      </c>
    </row>
    <row r="9" customFormat="false" ht="29.85" hidden="false" customHeight="false" outlineLevel="0" collapsed="false">
      <c r="A9" s="7" t="n">
        <v>5</v>
      </c>
      <c r="B9" s="7" t="s">
        <v>661</v>
      </c>
      <c r="C9" s="7" t="s">
        <v>662</v>
      </c>
      <c r="D9" s="7" t="s">
        <v>663</v>
      </c>
    </row>
    <row r="10" customFormat="false" ht="29.85" hidden="false" customHeight="false" outlineLevel="0" collapsed="false">
      <c r="A10" s="7" t="n">
        <v>6</v>
      </c>
      <c r="B10" s="7" t="s">
        <v>664</v>
      </c>
      <c r="C10" s="7" t="s">
        <v>665</v>
      </c>
      <c r="D10" s="7" t="s">
        <v>666</v>
      </c>
    </row>
    <row r="11" customFormat="false" ht="29.85" hidden="false" customHeight="false" outlineLevel="0" collapsed="false">
      <c r="A11" s="7" t="n">
        <v>7</v>
      </c>
      <c r="B11" s="7" t="s">
        <v>667</v>
      </c>
      <c r="C11" s="7" t="s">
        <v>668</v>
      </c>
      <c r="D11" s="7" t="s">
        <v>669</v>
      </c>
    </row>
    <row r="12" customFormat="false" ht="29.85" hidden="false" customHeight="false" outlineLevel="0" collapsed="false">
      <c r="A12" s="7" t="n">
        <v>8</v>
      </c>
      <c r="B12" s="7" t="s">
        <v>670</v>
      </c>
      <c r="C12" s="10" t="s">
        <v>671</v>
      </c>
      <c r="D12" s="7" t="s">
        <v>672</v>
      </c>
    </row>
    <row r="13" customFormat="false" ht="29.85" hidden="false" customHeight="false" outlineLevel="0" collapsed="false">
      <c r="A13" s="7" t="n">
        <v>9</v>
      </c>
      <c r="B13" s="7" t="s">
        <v>673</v>
      </c>
      <c r="C13" s="7" t="s">
        <v>674</v>
      </c>
      <c r="D13" s="7" t="s">
        <v>675</v>
      </c>
    </row>
    <row r="14" customFormat="false" ht="15" hidden="false" customHeight="false" outlineLevel="0" collapsed="false">
      <c r="A14" s="7" t="n">
        <v>10</v>
      </c>
      <c r="B14" s="10" t="s">
        <v>676</v>
      </c>
      <c r="C14" s="7" t="s">
        <v>677</v>
      </c>
      <c r="D14" s="7" t="s">
        <v>678</v>
      </c>
    </row>
    <row r="16" customFormat="false" ht="15" hidden="false" customHeight="false" outlineLevel="0" collapsed="false">
      <c r="A16" s="24" t="s">
        <v>679</v>
      </c>
    </row>
    <row r="17" customFormat="false" ht="15" hidden="false" customHeight="false" outlineLevel="0" collapsed="false">
      <c r="A17" s="3" t="s">
        <v>680</v>
      </c>
      <c r="B17" s="3" t="s">
        <v>681</v>
      </c>
      <c r="C17" s="3" t="s">
        <v>682</v>
      </c>
      <c r="D17" s="3" t="s">
        <v>683</v>
      </c>
    </row>
    <row r="18" customFormat="false" ht="29.85" hidden="false" customHeight="false" outlineLevel="0" collapsed="false">
      <c r="A18" s="10" t="s">
        <v>684</v>
      </c>
      <c r="B18" s="7" t="s">
        <v>685</v>
      </c>
      <c r="C18" s="7" t="s">
        <v>686</v>
      </c>
      <c r="D18" s="7" t="s">
        <v>687</v>
      </c>
    </row>
    <row r="19" customFormat="false" ht="29.85" hidden="false" customHeight="false" outlineLevel="0" collapsed="false">
      <c r="A19" s="10" t="s">
        <v>688</v>
      </c>
      <c r="B19" s="7" t="s">
        <v>689</v>
      </c>
      <c r="C19" s="7" t="s">
        <v>690</v>
      </c>
      <c r="D19" s="7" t="s">
        <v>691</v>
      </c>
    </row>
    <row r="20" customFormat="false" ht="29.85" hidden="false" customHeight="false" outlineLevel="0" collapsed="false">
      <c r="A20" s="10" t="s">
        <v>692</v>
      </c>
      <c r="B20" s="7" t="s">
        <v>693</v>
      </c>
      <c r="C20" s="7" t="s">
        <v>694</v>
      </c>
      <c r="D20" s="7" t="s">
        <v>695</v>
      </c>
    </row>
    <row r="21" customFormat="false" ht="29.85" hidden="false" customHeight="false" outlineLevel="0" collapsed="false">
      <c r="A21" s="7" t="s">
        <v>696</v>
      </c>
      <c r="B21" s="7" t="s">
        <v>697</v>
      </c>
      <c r="C21" s="7" t="s">
        <v>698</v>
      </c>
      <c r="D21" s="7" t="s">
        <v>699</v>
      </c>
    </row>
    <row r="22" customFormat="false" ht="44" hidden="false" customHeight="false" outlineLevel="0" collapsed="false">
      <c r="A22" s="7" t="s">
        <v>700</v>
      </c>
      <c r="B22" s="7" t="s">
        <v>701</v>
      </c>
      <c r="C22" s="10" t="s">
        <v>702</v>
      </c>
      <c r="D22" s="7" t="s">
        <v>703</v>
      </c>
    </row>
    <row r="23" customFormat="false" ht="44" hidden="false" customHeight="false" outlineLevel="0" collapsed="false">
      <c r="A23" s="10" t="s">
        <v>704</v>
      </c>
      <c r="B23" s="7" t="s">
        <v>705</v>
      </c>
      <c r="C23" s="7" t="s">
        <v>706</v>
      </c>
      <c r="D23" s="7" t="s">
        <v>707</v>
      </c>
    </row>
    <row r="24" customFormat="false" ht="44" hidden="false" customHeight="false" outlineLevel="0" collapsed="false">
      <c r="A24" s="7" t="s">
        <v>708</v>
      </c>
      <c r="B24" s="7" t="s">
        <v>709</v>
      </c>
      <c r="C24" s="7" t="s">
        <v>710</v>
      </c>
      <c r="D24" s="7" t="s">
        <v>711</v>
      </c>
    </row>
    <row r="25" customFormat="false" ht="44" hidden="false" customHeight="false" outlineLevel="0" collapsed="false">
      <c r="A25" s="7" t="s">
        <v>712</v>
      </c>
      <c r="B25" s="7" t="s">
        <v>713</v>
      </c>
      <c r="C25" s="10" t="s">
        <v>714</v>
      </c>
      <c r="D25" s="7" t="s">
        <v>715</v>
      </c>
    </row>
    <row r="27" customFormat="false" ht="15" hidden="false" customHeight="false" outlineLevel="0" collapsed="false">
      <c r="A27" s="24" t="s">
        <v>716</v>
      </c>
    </row>
    <row r="28" customFormat="false" ht="15" hidden="false" customHeight="false" outlineLevel="0" collapsed="false">
      <c r="A28" s="40" t="s">
        <v>488</v>
      </c>
      <c r="B28" s="3" t="s">
        <v>717</v>
      </c>
      <c r="C28" s="3" t="s">
        <v>718</v>
      </c>
    </row>
    <row r="29" customFormat="false" ht="29.85" hidden="false" customHeight="false" outlineLevel="0" collapsed="false">
      <c r="A29" s="7" t="n">
        <v>1</v>
      </c>
      <c r="B29" s="7" t="s">
        <v>719</v>
      </c>
      <c r="C29" s="10" t="s">
        <v>720</v>
      </c>
    </row>
    <row r="30" customFormat="false" ht="29.85" hidden="false" customHeight="false" outlineLevel="0" collapsed="false">
      <c r="A30" s="7" t="n">
        <v>2</v>
      </c>
      <c r="B30" s="10" t="s">
        <v>721</v>
      </c>
      <c r="C30" s="7" t="s">
        <v>722</v>
      </c>
    </row>
    <row r="31" customFormat="false" ht="15" hidden="false" customHeight="false" outlineLevel="0" collapsed="false">
      <c r="A31" s="7" t="n">
        <v>3</v>
      </c>
      <c r="B31" s="10" t="s">
        <v>723</v>
      </c>
      <c r="C31" s="7" t="s">
        <v>724</v>
      </c>
    </row>
    <row r="32" customFormat="false" ht="15" hidden="false" customHeight="false" outlineLevel="0" collapsed="false">
      <c r="A32" s="7" t="n">
        <v>4</v>
      </c>
      <c r="B32" s="10" t="s">
        <v>725</v>
      </c>
      <c r="C32" s="7" t="s">
        <v>726</v>
      </c>
    </row>
    <row r="33" customFormat="false" ht="15" hidden="false" customHeight="false" outlineLevel="0" collapsed="false">
      <c r="A33" s="7" t="n">
        <v>5</v>
      </c>
      <c r="B33" s="7" t="s">
        <v>727</v>
      </c>
      <c r="C33" s="10" t="s">
        <v>728</v>
      </c>
    </row>
    <row r="34" customFormat="false" ht="15" hidden="false" customHeight="false" outlineLevel="0" collapsed="false">
      <c r="A34" s="7" t="n">
        <v>6</v>
      </c>
      <c r="B34" s="7" t="s">
        <v>729</v>
      </c>
      <c r="C34" s="7" t="s">
        <v>41</v>
      </c>
    </row>
    <row r="35" customFormat="false" ht="29.85" hidden="false" customHeight="false" outlineLevel="0" collapsed="false">
      <c r="A35" s="5" t="n">
        <v>7</v>
      </c>
      <c r="B35" s="15" t="s">
        <v>730</v>
      </c>
      <c r="C35" s="15" t="s">
        <v>731</v>
      </c>
    </row>
    <row r="36" customFormat="false" ht="29.85" hidden="false" customHeight="false" outlineLevel="0" collapsed="false">
      <c r="A36" s="5" t="n">
        <v>8</v>
      </c>
      <c r="B36" s="5" t="s">
        <v>732</v>
      </c>
      <c r="C36" s="5" t="s">
        <v>733</v>
      </c>
    </row>
    <row r="37" customFormat="false" ht="29.85" hidden="false" customHeight="false" outlineLevel="0" collapsed="false">
      <c r="A37" s="5" t="n">
        <v>9</v>
      </c>
      <c r="B37" s="5" t="s">
        <v>734</v>
      </c>
      <c r="C37" s="5" t="s">
        <v>735</v>
      </c>
    </row>
    <row r="38" customFormat="false" ht="29.85" hidden="false" customHeight="false" outlineLevel="0" collapsed="false">
      <c r="A38" s="5" t="n">
        <v>10</v>
      </c>
      <c r="B38" s="5" t="s">
        <v>736</v>
      </c>
      <c r="C38" s="5" t="s">
        <v>737</v>
      </c>
    </row>
    <row r="39" customFormat="false" ht="29.85" hidden="false" customHeight="false" outlineLevel="0" collapsed="false">
      <c r="A39" s="5" t="n">
        <v>11</v>
      </c>
      <c r="B39" s="5" t="s">
        <v>738</v>
      </c>
      <c r="C39" s="5" t="s">
        <v>735</v>
      </c>
    </row>
    <row r="40" customFormat="false" ht="15" hidden="false" customHeight="false" outlineLevel="0" collapsed="false">
      <c r="A40" s="5" t="n">
        <v>12</v>
      </c>
      <c r="B40" s="5" t="s">
        <v>739</v>
      </c>
      <c r="C40" s="5" t="s">
        <v>740</v>
      </c>
    </row>
    <row r="43" customFormat="false" ht="15" hidden="false" customHeight="false" outlineLevel="0" collapsed="false">
      <c r="A43" s="45" t="s">
        <v>741</v>
      </c>
    </row>
    <row r="44" customFormat="false" ht="15" hidden="false" customHeight="false" outlineLevel="0" collapsed="false">
      <c r="A44" s="45" t="s">
        <v>742</v>
      </c>
    </row>
    <row r="45" customFormat="false" ht="15" hidden="false" customHeight="false" outlineLevel="0" collapsed="false">
      <c r="A45" s="48" t="s">
        <v>743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4"/>
    <col collapsed="false" customWidth="true" hidden="false" outlineLevel="0" max="3" min="3" style="0" width="86"/>
  </cols>
  <sheetData>
    <row r="1" customFormat="false" ht="16.15" hidden="false" customHeight="false" outlineLevel="0" collapsed="false">
      <c r="A1" s="27" t="s">
        <v>744</v>
      </c>
    </row>
    <row r="2" customFormat="false" ht="15" hidden="false" customHeight="false" outlineLevel="0" collapsed="false">
      <c r="A2" s="2" t="s">
        <v>745</v>
      </c>
    </row>
    <row r="4" customFormat="false" ht="15" hidden="false" customHeight="false" outlineLevel="0" collapsed="false">
      <c r="A4" s="40" t="s">
        <v>488</v>
      </c>
      <c r="B4" s="3" t="s">
        <v>746</v>
      </c>
      <c r="C4" s="3" t="s">
        <v>747</v>
      </c>
    </row>
    <row r="5" customFormat="false" ht="33.75" hidden="false" customHeight="true" outlineLevel="0" collapsed="false">
      <c r="A5" s="8" t="n">
        <v>1</v>
      </c>
      <c r="B5" s="7" t="s">
        <v>748</v>
      </c>
      <c r="C5" s="7" t="s">
        <v>749</v>
      </c>
    </row>
    <row r="6" customFormat="false" ht="33.75" hidden="false" customHeight="true" outlineLevel="0" collapsed="false">
      <c r="A6" s="8" t="n">
        <v>2</v>
      </c>
      <c r="B6" s="7" t="s">
        <v>750</v>
      </c>
      <c r="C6" s="7" t="s">
        <v>751</v>
      </c>
    </row>
    <row r="7" customFormat="false" ht="33.75" hidden="false" customHeight="true" outlineLevel="0" collapsed="false">
      <c r="A7" s="8" t="n">
        <v>3</v>
      </c>
      <c r="B7" s="7" t="s">
        <v>752</v>
      </c>
      <c r="C7" s="7" t="s">
        <v>753</v>
      </c>
    </row>
    <row r="8" customFormat="false" ht="33.75" hidden="false" customHeight="true" outlineLevel="0" collapsed="false">
      <c r="A8" s="8" t="n">
        <v>4</v>
      </c>
      <c r="B8" s="7" t="s">
        <v>754</v>
      </c>
      <c r="C8" s="7" t="s">
        <v>755</v>
      </c>
    </row>
    <row r="9" customFormat="false" ht="33.75" hidden="false" customHeight="true" outlineLevel="0" collapsed="false">
      <c r="A9" s="8" t="n">
        <v>5</v>
      </c>
      <c r="B9" s="7" t="s">
        <v>756</v>
      </c>
      <c r="C9" s="7" t="s">
        <v>757</v>
      </c>
    </row>
    <row r="10" customFormat="false" ht="33.75" hidden="false" customHeight="true" outlineLevel="0" collapsed="false">
      <c r="A10" s="8" t="n">
        <v>6</v>
      </c>
      <c r="B10" s="7" t="s">
        <v>758</v>
      </c>
      <c r="C10" s="7" t="s">
        <v>759</v>
      </c>
    </row>
    <row r="11" customFormat="false" ht="33.75" hidden="false" customHeight="true" outlineLevel="0" collapsed="false">
      <c r="A11" s="8" t="n">
        <v>7</v>
      </c>
      <c r="B11" s="7" t="s">
        <v>760</v>
      </c>
      <c r="C11" s="7" t="s">
        <v>761</v>
      </c>
    </row>
    <row r="13" customFormat="false" ht="15" hidden="false" customHeight="false" outlineLevel="0" collapsed="false">
      <c r="A13" s="24" t="s">
        <v>762</v>
      </c>
    </row>
    <row r="14" customFormat="false" ht="597.75" hidden="false" customHeight="false" outlineLevel="0" collapsed="false">
      <c r="A14" s="49" t="s">
        <v>763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5"/>
    <col collapsed="false" customWidth="true" hidden="false" outlineLevel="0" max="3" min="3" style="0" width="48"/>
    <col collapsed="false" customWidth="true" hidden="false" outlineLevel="0" max="4" min="4" style="0" width="40"/>
    <col collapsed="false" customWidth="true" hidden="false" outlineLevel="0" max="5" min="5" style="0" width="26"/>
    <col collapsed="false" customWidth="true" hidden="false" outlineLevel="0" max="6" min="6" style="0" width="44"/>
  </cols>
  <sheetData>
    <row r="1" customFormat="false" ht="16.15" hidden="false" customHeight="false" outlineLevel="0" collapsed="false">
      <c r="A1" s="27" t="s">
        <v>764</v>
      </c>
    </row>
    <row r="2" customFormat="false" ht="15" hidden="false" customHeight="false" outlineLevel="0" collapsed="false">
      <c r="A2" s="2" t="s">
        <v>765</v>
      </c>
    </row>
    <row r="4" customFormat="false" ht="15" hidden="false" customHeight="false" outlineLevel="0" collapsed="false">
      <c r="A4" s="3" t="s">
        <v>766</v>
      </c>
      <c r="B4" s="40" t="s">
        <v>488</v>
      </c>
      <c r="C4" s="3" t="s">
        <v>767</v>
      </c>
      <c r="D4" s="3" t="s">
        <v>768</v>
      </c>
      <c r="E4" s="3" t="s">
        <v>769</v>
      </c>
      <c r="F4" s="3" t="s">
        <v>770</v>
      </c>
    </row>
    <row r="5" customFormat="false" ht="30" hidden="false" customHeight="true" outlineLevel="0" collapsed="false">
      <c r="A5" s="50" t="s">
        <v>771</v>
      </c>
      <c r="B5" s="51" t="s">
        <v>772</v>
      </c>
      <c r="C5" s="52" t="s">
        <v>773</v>
      </c>
      <c r="D5" s="53" t="s">
        <v>774</v>
      </c>
      <c r="E5" s="52" t="s">
        <v>775</v>
      </c>
      <c r="F5" s="54" t="s">
        <v>776</v>
      </c>
    </row>
    <row r="6" customFormat="false" ht="30" hidden="false" customHeight="true" outlineLevel="0" collapsed="false">
      <c r="A6" s="55" t="s">
        <v>771</v>
      </c>
      <c r="B6" s="8" t="s">
        <v>777</v>
      </c>
      <c r="C6" s="7" t="s">
        <v>778</v>
      </c>
      <c r="D6" s="13" t="s">
        <v>779</v>
      </c>
      <c r="E6" s="7" t="s">
        <v>780</v>
      </c>
      <c r="F6" s="47" t="s">
        <v>781</v>
      </c>
    </row>
    <row r="7" customFormat="false" ht="30" hidden="false" customHeight="true" outlineLevel="0" collapsed="false">
      <c r="A7" s="55" t="s">
        <v>771</v>
      </c>
      <c r="B7" s="8" t="s">
        <v>782</v>
      </c>
      <c r="C7" s="7" t="s">
        <v>783</v>
      </c>
      <c r="D7" s="6" t="s">
        <v>784</v>
      </c>
      <c r="E7" s="7" t="s">
        <v>785</v>
      </c>
      <c r="F7" s="9" t="s">
        <v>786</v>
      </c>
    </row>
    <row r="8" customFormat="false" ht="30" hidden="false" customHeight="true" outlineLevel="0" collapsed="false">
      <c r="A8" s="50" t="s">
        <v>787</v>
      </c>
      <c r="B8" s="51" t="s">
        <v>788</v>
      </c>
      <c r="C8" s="52" t="s">
        <v>789</v>
      </c>
      <c r="D8" s="53" t="s">
        <v>790</v>
      </c>
      <c r="E8" s="52" t="s">
        <v>791</v>
      </c>
      <c r="F8" s="54" t="s">
        <v>792</v>
      </c>
    </row>
    <row r="9" customFormat="false" ht="30" hidden="false" customHeight="true" outlineLevel="0" collapsed="false">
      <c r="A9" s="55" t="s">
        <v>787</v>
      </c>
      <c r="B9" s="8" t="s">
        <v>793</v>
      </c>
      <c r="C9" s="7" t="s">
        <v>794</v>
      </c>
      <c r="D9" s="6" t="s">
        <v>795</v>
      </c>
      <c r="E9" s="7" t="s">
        <v>796</v>
      </c>
      <c r="F9" s="47" t="s">
        <v>797</v>
      </c>
    </row>
    <row r="10" customFormat="false" ht="30" hidden="false" customHeight="true" outlineLevel="0" collapsed="false">
      <c r="A10" s="50" t="s">
        <v>798</v>
      </c>
      <c r="B10" s="51" t="s">
        <v>472</v>
      </c>
      <c r="C10" s="52" t="s">
        <v>799</v>
      </c>
      <c r="D10" s="53" t="s">
        <v>800</v>
      </c>
      <c r="E10" s="52" t="s">
        <v>801</v>
      </c>
      <c r="F10" s="54" t="s">
        <v>802</v>
      </c>
    </row>
    <row r="11" customFormat="false" ht="30" hidden="false" customHeight="true" outlineLevel="0" collapsed="false">
      <c r="A11" s="55" t="s">
        <v>798</v>
      </c>
      <c r="B11" s="8" t="s">
        <v>803</v>
      </c>
      <c r="C11" s="7" t="s">
        <v>804</v>
      </c>
      <c r="D11" s="6" t="s">
        <v>805</v>
      </c>
      <c r="E11" s="7" t="s">
        <v>806</v>
      </c>
      <c r="F11" s="9" t="s">
        <v>807</v>
      </c>
    </row>
    <row r="12" customFormat="false" ht="30" hidden="false" customHeight="true" outlineLevel="0" collapsed="false">
      <c r="A12" s="50" t="s">
        <v>808</v>
      </c>
      <c r="B12" s="51" t="s">
        <v>772</v>
      </c>
      <c r="C12" s="52" t="s">
        <v>809</v>
      </c>
      <c r="D12" s="56" t="s">
        <v>786</v>
      </c>
      <c r="E12" s="57" t="s">
        <v>786</v>
      </c>
      <c r="F12" s="58" t="s">
        <v>786</v>
      </c>
    </row>
    <row r="13" customFormat="false" ht="30" hidden="false" customHeight="true" outlineLevel="0" collapsed="false">
      <c r="A13" s="55" t="s">
        <v>808</v>
      </c>
      <c r="B13" s="8" t="s">
        <v>777</v>
      </c>
      <c r="C13" s="7" t="s">
        <v>810</v>
      </c>
      <c r="D13" s="6" t="s">
        <v>811</v>
      </c>
      <c r="E13" s="7" t="s">
        <v>812</v>
      </c>
      <c r="F13" s="47" t="s">
        <v>813</v>
      </c>
    </row>
    <row r="14" customFormat="false" ht="30" hidden="false" customHeight="true" outlineLevel="0" collapsed="false">
      <c r="A14" s="55" t="s">
        <v>808</v>
      </c>
      <c r="B14" s="8" t="s">
        <v>782</v>
      </c>
      <c r="C14" s="7" t="s">
        <v>814</v>
      </c>
      <c r="D14" s="6" t="s">
        <v>815</v>
      </c>
      <c r="E14" s="7" t="s">
        <v>816</v>
      </c>
      <c r="F14" s="47" t="s">
        <v>817</v>
      </c>
    </row>
    <row r="15" customFormat="false" ht="30" hidden="false" customHeight="true" outlineLevel="0" collapsed="false">
      <c r="A15" s="55" t="s">
        <v>808</v>
      </c>
      <c r="B15" s="8" t="s">
        <v>788</v>
      </c>
      <c r="C15" s="7" t="s">
        <v>818</v>
      </c>
      <c r="D15" s="6" t="s">
        <v>819</v>
      </c>
      <c r="E15" s="7" t="s">
        <v>820</v>
      </c>
      <c r="F15" s="47" t="s">
        <v>821</v>
      </c>
    </row>
    <row r="16" customFormat="false" ht="30" hidden="false" customHeight="true" outlineLevel="0" collapsed="false">
      <c r="A16" s="59" t="s">
        <v>822</v>
      </c>
      <c r="B16" s="51" t="s">
        <v>772</v>
      </c>
      <c r="C16" s="52" t="s">
        <v>823</v>
      </c>
      <c r="D16" s="53" t="s">
        <v>824</v>
      </c>
      <c r="E16" s="52" t="s">
        <v>825</v>
      </c>
      <c r="F16" s="54" t="s">
        <v>826</v>
      </c>
    </row>
    <row r="17" customFormat="false" ht="30" hidden="false" customHeight="true" outlineLevel="0" collapsed="false">
      <c r="A17" s="28" t="s">
        <v>822</v>
      </c>
      <c r="B17" s="8" t="s">
        <v>777</v>
      </c>
      <c r="C17" s="7" t="s">
        <v>827</v>
      </c>
      <c r="D17" s="6" t="s">
        <v>828</v>
      </c>
      <c r="E17" s="7" t="s">
        <v>829</v>
      </c>
      <c r="F17" s="9" t="s">
        <v>786</v>
      </c>
    </row>
    <row r="18" customFormat="false" ht="30" hidden="false" customHeight="true" outlineLevel="0" collapsed="false">
      <c r="A18" s="28" t="s">
        <v>822</v>
      </c>
      <c r="B18" s="8" t="s">
        <v>782</v>
      </c>
      <c r="C18" s="10" t="s">
        <v>830</v>
      </c>
      <c r="D18" s="13" t="s">
        <v>831</v>
      </c>
      <c r="E18" s="7" t="s">
        <v>832</v>
      </c>
      <c r="F18" s="47" t="s">
        <v>833</v>
      </c>
    </row>
    <row r="19" customFormat="false" ht="30" hidden="false" customHeight="true" outlineLevel="0" collapsed="false">
      <c r="A19" s="28" t="s">
        <v>822</v>
      </c>
      <c r="B19" s="8" t="s">
        <v>788</v>
      </c>
      <c r="C19" s="7" t="s">
        <v>834</v>
      </c>
      <c r="D19" s="6" t="s">
        <v>835</v>
      </c>
      <c r="E19" s="7" t="s">
        <v>836</v>
      </c>
      <c r="F19" s="47" t="s">
        <v>837</v>
      </c>
    </row>
    <row r="20" customFormat="false" ht="30" hidden="false" customHeight="true" outlineLevel="0" collapsed="false">
      <c r="A20" s="59" t="s">
        <v>838</v>
      </c>
      <c r="B20" s="51" t="s">
        <v>772</v>
      </c>
      <c r="C20" s="52" t="s">
        <v>839</v>
      </c>
      <c r="D20" s="53" t="s">
        <v>840</v>
      </c>
      <c r="E20" s="57" t="s">
        <v>786</v>
      </c>
      <c r="F20" s="58" t="s">
        <v>786</v>
      </c>
    </row>
    <row r="21" customFormat="false" ht="30" hidden="false" customHeight="true" outlineLevel="0" collapsed="false">
      <c r="A21" s="28" t="s">
        <v>838</v>
      </c>
      <c r="B21" s="8" t="s">
        <v>777</v>
      </c>
      <c r="C21" s="10" t="s">
        <v>841</v>
      </c>
      <c r="D21" s="6" t="s">
        <v>842</v>
      </c>
      <c r="E21" s="10" t="s">
        <v>786</v>
      </c>
      <c r="F21" s="9" t="s">
        <v>843</v>
      </c>
    </row>
    <row r="22" customFormat="false" ht="30" hidden="false" customHeight="true" outlineLevel="0" collapsed="false">
      <c r="A22" s="28" t="s">
        <v>838</v>
      </c>
      <c r="B22" s="8" t="s">
        <v>782</v>
      </c>
      <c r="C22" s="7" t="s">
        <v>844</v>
      </c>
      <c r="D22" s="6" t="s">
        <v>845</v>
      </c>
      <c r="E22" s="7" t="s">
        <v>846</v>
      </c>
      <c r="F22" s="47" t="s">
        <v>847</v>
      </c>
    </row>
    <row r="23" customFormat="false" ht="30" hidden="false" customHeight="true" outlineLevel="0" collapsed="false">
      <c r="A23" s="59" t="s">
        <v>848</v>
      </c>
      <c r="B23" s="51" t="s">
        <v>772</v>
      </c>
      <c r="C23" s="52" t="s">
        <v>849</v>
      </c>
      <c r="D23" s="53" t="s">
        <v>850</v>
      </c>
      <c r="E23" s="57" t="s">
        <v>786</v>
      </c>
      <c r="F23" s="58" t="s">
        <v>786</v>
      </c>
    </row>
    <row r="24" customFormat="false" ht="30" hidden="false" customHeight="true" outlineLevel="0" collapsed="false">
      <c r="A24" s="28" t="s">
        <v>848</v>
      </c>
      <c r="B24" s="8" t="s">
        <v>777</v>
      </c>
      <c r="C24" s="7" t="s">
        <v>851</v>
      </c>
      <c r="D24" s="6" t="s">
        <v>852</v>
      </c>
      <c r="E24" s="7" t="s">
        <v>853</v>
      </c>
      <c r="F24" s="47" t="s">
        <v>854</v>
      </c>
    </row>
    <row r="25" customFormat="false" ht="30" hidden="false" customHeight="true" outlineLevel="0" collapsed="false">
      <c r="A25" s="28" t="s">
        <v>848</v>
      </c>
      <c r="B25" s="8" t="s">
        <v>782</v>
      </c>
      <c r="C25" s="7" t="s">
        <v>855</v>
      </c>
      <c r="D25" s="6" t="s">
        <v>856</v>
      </c>
      <c r="E25" s="7" t="s">
        <v>857</v>
      </c>
      <c r="F25" s="47" t="s">
        <v>858</v>
      </c>
    </row>
    <row r="26" customFormat="false" ht="30" hidden="false" customHeight="true" outlineLevel="0" collapsed="false">
      <c r="A26" s="28" t="s">
        <v>848</v>
      </c>
      <c r="B26" s="8" t="s">
        <v>788</v>
      </c>
      <c r="C26" s="7" t="s">
        <v>859</v>
      </c>
      <c r="D26" s="6" t="s">
        <v>860</v>
      </c>
      <c r="E26" s="7" t="s">
        <v>861</v>
      </c>
      <c r="F26" s="47" t="s">
        <v>862</v>
      </c>
    </row>
    <row r="27" customFormat="false" ht="30" hidden="false" customHeight="true" outlineLevel="0" collapsed="false">
      <c r="A27" s="59" t="s">
        <v>863</v>
      </c>
      <c r="B27" s="51" t="s">
        <v>772</v>
      </c>
      <c r="C27" s="52" t="s">
        <v>864</v>
      </c>
      <c r="D27" s="53" t="s">
        <v>865</v>
      </c>
      <c r="E27" s="52" t="s">
        <v>866</v>
      </c>
      <c r="F27" s="54" t="s">
        <v>867</v>
      </c>
    </row>
    <row r="28" customFormat="false" ht="30" hidden="false" customHeight="true" outlineLevel="0" collapsed="false">
      <c r="A28" s="28" t="s">
        <v>863</v>
      </c>
      <c r="B28" s="8" t="s">
        <v>777</v>
      </c>
      <c r="C28" s="7" t="s">
        <v>868</v>
      </c>
      <c r="D28" s="6" t="s">
        <v>869</v>
      </c>
      <c r="E28" s="7" t="s">
        <v>870</v>
      </c>
      <c r="F28" s="47" t="s">
        <v>871</v>
      </c>
    </row>
    <row r="29" customFormat="false" ht="30" hidden="false" customHeight="true" outlineLevel="0" collapsed="false">
      <c r="A29" s="28" t="s">
        <v>863</v>
      </c>
      <c r="B29" s="8" t="s">
        <v>782</v>
      </c>
      <c r="C29" s="7" t="s">
        <v>872</v>
      </c>
      <c r="D29" s="6" t="s">
        <v>873</v>
      </c>
      <c r="E29" s="7" t="s">
        <v>874</v>
      </c>
      <c r="F29" s="47" t="s">
        <v>875</v>
      </c>
    </row>
    <row r="30" customFormat="false" ht="30" hidden="false" customHeight="true" outlineLevel="0" collapsed="false">
      <c r="A30" s="59" t="s">
        <v>876</v>
      </c>
      <c r="B30" s="51" t="s">
        <v>772</v>
      </c>
      <c r="C30" s="57" t="s">
        <v>877</v>
      </c>
      <c r="D30" s="56" t="s">
        <v>878</v>
      </c>
      <c r="E30" s="57" t="s">
        <v>879</v>
      </c>
      <c r="F30" s="58" t="s">
        <v>880</v>
      </c>
    </row>
    <row r="31" customFormat="false" ht="30" hidden="false" customHeight="true" outlineLevel="0" collapsed="false">
      <c r="A31" s="28" t="s">
        <v>876</v>
      </c>
      <c r="B31" s="8" t="s">
        <v>777</v>
      </c>
      <c r="C31" s="7" t="s">
        <v>881</v>
      </c>
      <c r="D31" s="6" t="s">
        <v>882</v>
      </c>
      <c r="E31" s="7" t="s">
        <v>883</v>
      </c>
      <c r="F31" s="47" t="s">
        <v>884</v>
      </c>
    </row>
    <row r="32" customFormat="false" ht="30" hidden="false" customHeight="true" outlineLevel="0" collapsed="false">
      <c r="A32" s="28" t="s">
        <v>876</v>
      </c>
      <c r="B32" s="8" t="s">
        <v>782</v>
      </c>
      <c r="C32" s="7" t="s">
        <v>885</v>
      </c>
      <c r="D32" s="6" t="s">
        <v>886</v>
      </c>
      <c r="E32" s="7" t="s">
        <v>887</v>
      </c>
      <c r="F32" s="9" t="s">
        <v>786</v>
      </c>
    </row>
    <row r="33" customFormat="false" ht="30" hidden="false" customHeight="true" outlineLevel="0" collapsed="false">
      <c r="A33" s="28" t="s">
        <v>876</v>
      </c>
      <c r="B33" s="8" t="s">
        <v>788</v>
      </c>
      <c r="C33" s="7" t="s">
        <v>888</v>
      </c>
      <c r="D33" s="6" t="s">
        <v>889</v>
      </c>
      <c r="E33" s="7" t="s">
        <v>890</v>
      </c>
      <c r="F33" s="47" t="s">
        <v>891</v>
      </c>
    </row>
    <row r="34" customFormat="false" ht="30" hidden="false" customHeight="true" outlineLevel="0" collapsed="false">
      <c r="A34" s="28" t="s">
        <v>876</v>
      </c>
      <c r="B34" s="8" t="s">
        <v>793</v>
      </c>
      <c r="C34" s="7" t="s">
        <v>892</v>
      </c>
      <c r="D34" s="6" t="s">
        <v>893</v>
      </c>
      <c r="E34" s="7" t="s">
        <v>894</v>
      </c>
      <c r="F34" s="9" t="s">
        <v>786</v>
      </c>
    </row>
    <row r="35" customFormat="false" ht="30" hidden="false" customHeight="true" outlineLevel="0" collapsed="false">
      <c r="A35" s="59" t="s">
        <v>895</v>
      </c>
      <c r="B35" s="51" t="s">
        <v>772</v>
      </c>
      <c r="C35" s="52" t="s">
        <v>896</v>
      </c>
      <c r="D35" s="53" t="s">
        <v>897</v>
      </c>
      <c r="E35" s="52" t="s">
        <v>898</v>
      </c>
      <c r="F35" s="54" t="s">
        <v>899</v>
      </c>
    </row>
    <row r="36" customFormat="false" ht="30" hidden="false" customHeight="true" outlineLevel="0" collapsed="false">
      <c r="A36" s="28" t="s">
        <v>895</v>
      </c>
      <c r="B36" s="8" t="s">
        <v>777</v>
      </c>
      <c r="C36" s="7" t="s">
        <v>900</v>
      </c>
      <c r="D36" s="6" t="s">
        <v>901</v>
      </c>
      <c r="E36" s="7" t="s">
        <v>902</v>
      </c>
      <c r="F36" s="47" t="s">
        <v>903</v>
      </c>
    </row>
    <row r="37" customFormat="false" ht="30" hidden="false" customHeight="true" outlineLevel="0" collapsed="false">
      <c r="A37" s="28" t="s">
        <v>895</v>
      </c>
      <c r="B37" s="8" t="s">
        <v>782</v>
      </c>
      <c r="C37" s="7" t="s">
        <v>904</v>
      </c>
      <c r="D37" s="6" t="s">
        <v>905</v>
      </c>
      <c r="E37" s="7" t="s">
        <v>906</v>
      </c>
      <c r="F37" s="9" t="s">
        <v>786</v>
      </c>
    </row>
    <row r="38" customFormat="false" ht="30" hidden="false" customHeight="true" outlineLevel="0" collapsed="false">
      <c r="A38" s="59" t="s">
        <v>907</v>
      </c>
      <c r="B38" s="51" t="s">
        <v>772</v>
      </c>
      <c r="C38" s="52" t="s">
        <v>908</v>
      </c>
      <c r="D38" s="56" t="s">
        <v>786</v>
      </c>
      <c r="E38" s="52" t="s">
        <v>909</v>
      </c>
      <c r="F38" s="54" t="s">
        <v>910</v>
      </c>
    </row>
    <row r="39" customFormat="false" ht="30" hidden="false" customHeight="true" outlineLevel="0" collapsed="false">
      <c r="A39" s="28" t="s">
        <v>907</v>
      </c>
      <c r="B39" s="8" t="s">
        <v>777</v>
      </c>
      <c r="C39" s="7" t="s">
        <v>911</v>
      </c>
      <c r="D39" s="6" t="s">
        <v>912</v>
      </c>
      <c r="E39" s="7" t="s">
        <v>913</v>
      </c>
      <c r="F39" s="47" t="s">
        <v>914</v>
      </c>
    </row>
    <row r="40" customFormat="false" ht="30" hidden="false" customHeight="true" outlineLevel="0" collapsed="false">
      <c r="A40" s="59" t="s">
        <v>915</v>
      </c>
      <c r="B40" s="51" t="s">
        <v>772</v>
      </c>
      <c r="C40" s="52" t="s">
        <v>916</v>
      </c>
      <c r="D40" s="53" t="s">
        <v>917</v>
      </c>
      <c r="E40" s="52" t="s">
        <v>918</v>
      </c>
      <c r="F40" s="54" t="s">
        <v>919</v>
      </c>
    </row>
    <row r="41" customFormat="false" ht="30" hidden="false" customHeight="true" outlineLevel="0" collapsed="false">
      <c r="A41" s="28" t="s">
        <v>915</v>
      </c>
      <c r="B41" s="8" t="s">
        <v>777</v>
      </c>
      <c r="C41" s="7" t="s">
        <v>920</v>
      </c>
      <c r="D41" s="6" t="s">
        <v>921</v>
      </c>
      <c r="E41" s="7" t="s">
        <v>922</v>
      </c>
      <c r="F41" s="9" t="s">
        <v>786</v>
      </c>
    </row>
    <row r="42" customFormat="false" ht="30" hidden="false" customHeight="true" outlineLevel="0" collapsed="false">
      <c r="A42" s="28" t="s">
        <v>915</v>
      </c>
      <c r="B42" s="8" t="s">
        <v>782</v>
      </c>
      <c r="C42" s="7" t="s">
        <v>923</v>
      </c>
      <c r="D42" s="6" t="s">
        <v>924</v>
      </c>
      <c r="E42" s="7" t="s">
        <v>925</v>
      </c>
      <c r="F42" s="47" t="s">
        <v>926</v>
      </c>
    </row>
    <row r="43" customFormat="false" ht="30" hidden="false" customHeight="true" outlineLevel="0" collapsed="false">
      <c r="A43" s="28" t="s">
        <v>915</v>
      </c>
      <c r="B43" s="8" t="s">
        <v>788</v>
      </c>
      <c r="C43" s="7" t="s">
        <v>927</v>
      </c>
      <c r="D43" s="6" t="s">
        <v>928</v>
      </c>
      <c r="E43" s="7" t="s">
        <v>929</v>
      </c>
      <c r="F43" s="47" t="s">
        <v>930</v>
      </c>
    </row>
    <row r="44" customFormat="false" ht="30" hidden="false" customHeight="true" outlineLevel="0" collapsed="false">
      <c r="A44" s="59" t="s">
        <v>517</v>
      </c>
      <c r="B44" s="51" t="s">
        <v>772</v>
      </c>
      <c r="C44" s="52" t="s">
        <v>931</v>
      </c>
      <c r="D44" s="53" t="s">
        <v>932</v>
      </c>
      <c r="E44" s="57" t="s">
        <v>933</v>
      </c>
      <c r="F44" s="54" t="s">
        <v>934</v>
      </c>
    </row>
    <row r="45" customFormat="false" ht="30" hidden="false" customHeight="true" outlineLevel="0" collapsed="false">
      <c r="A45" s="28" t="s">
        <v>517</v>
      </c>
      <c r="B45" s="8" t="s">
        <v>777</v>
      </c>
      <c r="C45" s="7" t="s">
        <v>935</v>
      </c>
      <c r="D45" s="6" t="s">
        <v>936</v>
      </c>
      <c r="E45" s="7" t="s">
        <v>937</v>
      </c>
      <c r="F45" s="47" t="s">
        <v>938</v>
      </c>
    </row>
    <row r="46" customFormat="false" ht="30" hidden="false" customHeight="true" outlineLevel="0" collapsed="false">
      <c r="A46" s="28" t="s">
        <v>517</v>
      </c>
      <c r="B46" s="8" t="s">
        <v>782</v>
      </c>
      <c r="C46" s="7" t="s">
        <v>939</v>
      </c>
      <c r="D46" s="6" t="s">
        <v>940</v>
      </c>
      <c r="E46" s="7" t="s">
        <v>941</v>
      </c>
      <c r="F46" s="9" t="s">
        <v>786</v>
      </c>
    </row>
    <row r="47" customFormat="false" ht="30" hidden="false" customHeight="true" outlineLevel="0" collapsed="false">
      <c r="A47" s="59" t="s">
        <v>541</v>
      </c>
      <c r="B47" s="51" t="s">
        <v>772</v>
      </c>
      <c r="C47" s="52" t="s">
        <v>942</v>
      </c>
      <c r="D47" s="53" t="s">
        <v>943</v>
      </c>
      <c r="E47" s="57" t="s">
        <v>944</v>
      </c>
      <c r="F47" s="58" t="s">
        <v>786</v>
      </c>
    </row>
    <row r="48" customFormat="false" ht="30" hidden="false" customHeight="true" outlineLevel="0" collapsed="false">
      <c r="A48" s="28" t="s">
        <v>541</v>
      </c>
      <c r="B48" s="8" t="s">
        <v>777</v>
      </c>
      <c r="C48" s="7" t="s">
        <v>945</v>
      </c>
      <c r="D48" s="13" t="s">
        <v>946</v>
      </c>
      <c r="E48" s="7" t="s">
        <v>947</v>
      </c>
      <c r="F48" s="47" t="s">
        <v>948</v>
      </c>
    </row>
    <row r="49" customFormat="false" ht="30" hidden="false" customHeight="true" outlineLevel="0" collapsed="false">
      <c r="A49" s="59" t="s">
        <v>557</v>
      </c>
      <c r="B49" s="51" t="s">
        <v>772</v>
      </c>
      <c r="C49" s="52" t="s">
        <v>949</v>
      </c>
      <c r="D49" s="53" t="s">
        <v>950</v>
      </c>
      <c r="E49" s="57" t="s">
        <v>951</v>
      </c>
      <c r="F49" s="58" t="s">
        <v>786</v>
      </c>
    </row>
    <row r="50" customFormat="false" ht="30" hidden="false" customHeight="true" outlineLevel="0" collapsed="false">
      <c r="A50" s="28" t="s">
        <v>557</v>
      </c>
      <c r="B50" s="8" t="s">
        <v>777</v>
      </c>
      <c r="C50" s="7" t="s">
        <v>952</v>
      </c>
      <c r="D50" s="6" t="s">
        <v>953</v>
      </c>
      <c r="E50" s="7" t="s">
        <v>954</v>
      </c>
      <c r="F50" s="47" t="s">
        <v>955</v>
      </c>
    </row>
    <row r="52" customFormat="false" ht="15" hidden="false" customHeight="false" outlineLevel="0" collapsed="false">
      <c r="A52" s="45" t="s">
        <v>956</v>
      </c>
    </row>
    <row r="53" customFormat="false" ht="15" hidden="false" customHeight="false" outlineLevel="0" collapsed="false">
      <c r="A53" s="25" t="s">
        <v>957</v>
      </c>
    </row>
    <row r="54" customFormat="false" ht="15" hidden="false" customHeight="false" outlineLevel="0" collapsed="false">
      <c r="A54" s="25" t="s">
        <v>958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5"/>
    <col collapsed="false" customWidth="true" hidden="false" outlineLevel="0" max="3" min="3" style="0" width="52"/>
    <col collapsed="false" customWidth="true" hidden="false" outlineLevel="0" max="4" min="4" style="0" width="18"/>
    <col collapsed="false" customWidth="true" hidden="false" outlineLevel="0" max="5" min="5" style="0" width="8"/>
    <col collapsed="false" customWidth="true" hidden="false" outlineLevel="0" max="6" min="6" style="0" width="60"/>
    <col collapsed="false" customWidth="true" hidden="false" outlineLevel="0" max="7" min="7" style="0" width="11"/>
  </cols>
  <sheetData>
    <row r="1" customFormat="false" ht="20.1" hidden="false" customHeight="false" outlineLevel="0" collapsed="false">
      <c r="A1" s="27" t="s">
        <v>959</v>
      </c>
    </row>
    <row r="2" customFormat="false" ht="15" hidden="false" customHeight="false" outlineLevel="0" collapsed="false">
      <c r="A2" s="60" t="s">
        <v>960</v>
      </c>
    </row>
    <row r="4" customFormat="false" ht="15" hidden="false" customHeight="false" outlineLevel="0" collapsed="false">
      <c r="A4" s="3" t="s">
        <v>961</v>
      </c>
      <c r="B4" s="40" t="s">
        <v>488</v>
      </c>
      <c r="C4" s="3" t="s">
        <v>582</v>
      </c>
      <c r="D4" s="3" t="s">
        <v>962</v>
      </c>
      <c r="E4" s="3" t="s">
        <v>963</v>
      </c>
      <c r="F4" s="3" t="s">
        <v>964</v>
      </c>
      <c r="G4" s="3" t="s">
        <v>965</v>
      </c>
    </row>
    <row r="5" customFormat="false" ht="33.75" hidden="false" customHeight="true" outlineLevel="0" collapsed="false">
      <c r="A5" s="61" t="s">
        <v>966</v>
      </c>
      <c r="B5" s="8" t="n">
        <v>1</v>
      </c>
      <c r="C5" s="7" t="s">
        <v>967</v>
      </c>
      <c r="D5" s="7" t="s">
        <v>968</v>
      </c>
      <c r="E5" s="8" t="s">
        <v>969</v>
      </c>
      <c r="F5" s="7" t="s">
        <v>970</v>
      </c>
      <c r="G5" s="42"/>
    </row>
    <row r="6" customFormat="false" ht="33.75" hidden="false" customHeight="true" outlineLevel="0" collapsed="false">
      <c r="A6" s="61" t="s">
        <v>966</v>
      </c>
      <c r="B6" s="8" t="n">
        <v>2</v>
      </c>
      <c r="C6" s="7" t="s">
        <v>971</v>
      </c>
      <c r="D6" s="7" t="s">
        <v>41</v>
      </c>
      <c r="E6" s="8" t="s">
        <v>969</v>
      </c>
      <c r="F6" s="10" t="s">
        <v>972</v>
      </c>
      <c r="G6" s="42"/>
    </row>
    <row r="7" customFormat="false" ht="33.75" hidden="false" customHeight="true" outlineLevel="0" collapsed="false">
      <c r="A7" s="61" t="s">
        <v>966</v>
      </c>
      <c r="B7" s="8" t="n">
        <v>3</v>
      </c>
      <c r="C7" s="7" t="s">
        <v>973</v>
      </c>
      <c r="D7" s="7" t="s">
        <v>974</v>
      </c>
      <c r="E7" s="8" t="s">
        <v>975</v>
      </c>
      <c r="F7" s="7" t="s">
        <v>976</v>
      </c>
      <c r="G7" s="42"/>
    </row>
    <row r="8" customFormat="false" ht="33.75" hidden="false" customHeight="true" outlineLevel="0" collapsed="false">
      <c r="A8" s="61" t="s">
        <v>966</v>
      </c>
      <c r="B8" s="8" t="n">
        <v>4</v>
      </c>
      <c r="C8" s="7" t="s">
        <v>977</v>
      </c>
      <c r="D8" s="7" t="s">
        <v>974</v>
      </c>
      <c r="E8" s="8" t="s">
        <v>975</v>
      </c>
      <c r="F8" s="10" t="s">
        <v>978</v>
      </c>
      <c r="G8" s="42"/>
    </row>
    <row r="9" customFormat="false" ht="33.75" hidden="false" customHeight="true" outlineLevel="0" collapsed="false">
      <c r="A9" s="5" t="s">
        <v>979</v>
      </c>
      <c r="B9" s="8" t="n">
        <v>5</v>
      </c>
      <c r="C9" s="7" t="s">
        <v>980</v>
      </c>
      <c r="D9" s="7" t="s">
        <v>41</v>
      </c>
      <c r="E9" s="8" t="s">
        <v>981</v>
      </c>
      <c r="F9" s="10" t="s">
        <v>982</v>
      </c>
      <c r="G9" s="42"/>
    </row>
    <row r="10" customFormat="false" ht="33.75" hidden="false" customHeight="true" outlineLevel="0" collapsed="false">
      <c r="A10" s="5" t="s">
        <v>979</v>
      </c>
      <c r="B10" s="8" t="n">
        <v>6</v>
      </c>
      <c r="C10" s="7" t="s">
        <v>983</v>
      </c>
      <c r="D10" s="7" t="s">
        <v>984</v>
      </c>
      <c r="E10" s="8" t="s">
        <v>985</v>
      </c>
      <c r="F10" s="10" t="s">
        <v>986</v>
      </c>
      <c r="G10" s="42"/>
    </row>
    <row r="11" customFormat="false" ht="33.75" hidden="false" customHeight="true" outlineLevel="0" collapsed="false">
      <c r="A11" s="5" t="s">
        <v>979</v>
      </c>
      <c r="B11" s="8" t="n">
        <v>7</v>
      </c>
      <c r="C11" s="7" t="s">
        <v>987</v>
      </c>
      <c r="D11" s="7" t="s">
        <v>41</v>
      </c>
      <c r="E11" s="8" t="s">
        <v>985</v>
      </c>
      <c r="F11" s="7" t="s">
        <v>988</v>
      </c>
      <c r="G11" s="42"/>
    </row>
    <row r="12" customFormat="false" ht="33.75" hidden="false" customHeight="true" outlineLevel="0" collapsed="false">
      <c r="A12" s="5" t="s">
        <v>979</v>
      </c>
      <c r="B12" s="8" t="n">
        <v>8</v>
      </c>
      <c r="C12" s="10" t="s">
        <v>989</v>
      </c>
      <c r="D12" s="7" t="s">
        <v>974</v>
      </c>
      <c r="E12" s="8" t="s">
        <v>975</v>
      </c>
      <c r="F12" s="7" t="s">
        <v>990</v>
      </c>
      <c r="G12" s="42"/>
    </row>
    <row r="13" customFormat="false" ht="33.75" hidden="false" customHeight="true" outlineLevel="0" collapsed="false">
      <c r="A13" s="5" t="s">
        <v>979</v>
      </c>
      <c r="B13" s="8" t="n">
        <v>9</v>
      </c>
      <c r="C13" s="10" t="s">
        <v>991</v>
      </c>
      <c r="D13" s="10" t="s">
        <v>992</v>
      </c>
      <c r="E13" s="8" t="s">
        <v>87</v>
      </c>
      <c r="F13" s="7" t="s">
        <v>993</v>
      </c>
      <c r="G13" s="42"/>
    </row>
    <row r="14" customFormat="false" ht="33.75" hidden="false" customHeight="true" outlineLevel="0" collapsed="false">
      <c r="A14" s="5" t="s">
        <v>979</v>
      </c>
      <c r="B14" s="8" t="n">
        <v>10</v>
      </c>
      <c r="C14" s="10" t="s">
        <v>994</v>
      </c>
      <c r="D14" s="7" t="s">
        <v>41</v>
      </c>
      <c r="E14" s="8" t="s">
        <v>969</v>
      </c>
      <c r="F14" s="7" t="s">
        <v>995</v>
      </c>
      <c r="G14" s="42"/>
    </row>
    <row r="16" customFormat="false" ht="15" hidden="false" customHeight="false" outlineLevel="0" collapsed="false">
      <c r="C16" s="20" t="s">
        <v>996</v>
      </c>
      <c r="E16" s="43" t="n">
        <f aca="false">SUM(G5:G8)</f>
        <v>0</v>
      </c>
    </row>
    <row r="17" customFormat="false" ht="64.15" hidden="false" customHeight="false" outlineLevel="0" collapsed="false">
      <c r="C17" s="20" t="s">
        <v>997</v>
      </c>
      <c r="E17" s="43" t="str">
        <f aca="false">IF(E16=4,"可以","還不行：必須項未完成")</f>
        <v>還不行：必須項未完成</v>
      </c>
    </row>
    <row r="19" customFormat="false" ht="15" hidden="false" customHeight="false" outlineLevel="0" collapsed="false">
      <c r="A19" s="38" t="s">
        <v>998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2026-09-08T07:03:01Z</dcterms:created>
  <dc:creator>openpyxl</dc:creator>
  <dc:description/>
  <dc:language>en-US</dc:language>
  <cp:lastModifiedBy/>
  <dcterms:modified xsi:type="dcterms:W3CDTF">2026-09-08T07:03:01Z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